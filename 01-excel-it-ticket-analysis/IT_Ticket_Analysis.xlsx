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ickets" sheetId="2" state="visible" r:id="rId4"/>
    <sheet name="KPI Summary" sheetId="3" state="visible" r:id="rId5"/>
    <sheet name="SLA Policy" sheetId="4" state="visible" r:id="rId6"/>
  </sheets>
  <definedNames>
    <definedName function="false" hidden="true" localSheetId="1" name="_xlnm._FilterDatabase" vbProcedure="false">Tickets!$A$1:$M$1201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<sst xmlns="http://schemas.openxmlformats.org/spreadsheetml/2006/main" count="6099" uniqueCount="1261">
  <si>
    <t xml:space="preserve">IT Support Ticket Analysis</t>
  </si>
  <si>
    <t xml:space="preserve">Author: Maria Antonia Moreno</t>
  </si>
  <si>
    <t xml:space="preserve">Objective: identify bottlenecks in IT support and measure SLA compliance, resolution time and customer satisfaction.</t>
  </si>
  <si>
    <t xml:space="preserve">Sheets</t>
  </si>
  <si>
    <t xml:space="preserve">Tickets – raw ticket log (1,200 tickets, Jan–Jun 2026) + calculated columns (grey headers are formulas).</t>
  </si>
  <si>
    <t xml:space="preserve">SLA Policy – resolution-time target per priority (edit these to test other policies).</t>
  </si>
  <si>
    <t xml:space="preserve">KPI Summary – formula-driven KPIs by category, priority, team, channel and month, with charts.</t>
  </si>
  <si>
    <t xml:space="preserve">Data note: the dataset is SYNTHETIC, generated in Python to mimic a mid-sized company's help desk. It contains no real company or personal data.</t>
  </si>
  <si>
    <t xml:space="preserve">Ticket_ID</t>
  </si>
  <si>
    <t xml:space="preserve">Created</t>
  </si>
  <si>
    <t xml:space="preserve">Resolved</t>
  </si>
  <si>
    <t xml:space="preserve">Category</t>
  </si>
  <si>
    <t xml:space="preserve">Priority</t>
  </si>
  <si>
    <t xml:space="preserve">Channel</t>
  </si>
  <si>
    <t xml:space="preserve">Assigned_Team</t>
  </si>
  <si>
    <t xml:space="preserve">CSAT</t>
  </si>
  <si>
    <t xml:space="preserve">Status</t>
  </si>
  <si>
    <t xml:space="preserve">Month</t>
  </si>
  <si>
    <t xml:space="preserve">Resolution_Hours</t>
  </si>
  <si>
    <t xml:space="preserve">SLA_Target_Hours</t>
  </si>
  <si>
    <t xml:space="preserve">SLA_Met</t>
  </si>
  <si>
    <t xml:space="preserve">TCK-10001</t>
  </si>
  <si>
    <t xml:space="preserve">Hardware</t>
  </si>
  <si>
    <t xml:space="preserve">High</t>
  </si>
  <si>
    <t xml:space="preserve">Self-Service Portal</t>
  </si>
  <si>
    <t xml:space="preserve">Tier 2 - Infrastructure</t>
  </si>
  <si>
    <t xml:space="preserve">TCK-10002</t>
  </si>
  <si>
    <t xml:space="preserve">Email</t>
  </si>
  <si>
    <t xml:space="preserve">Chat</t>
  </si>
  <si>
    <t xml:space="preserve">Tier 1 - Service Desk</t>
  </si>
  <si>
    <t xml:space="preserve">TCK-10003</t>
  </si>
  <si>
    <t xml:space="preserve">Software</t>
  </si>
  <si>
    <t xml:space="preserve">Low</t>
  </si>
  <si>
    <t xml:space="preserve">Tier 2 - Applications</t>
  </si>
  <si>
    <t xml:space="preserve">TCK-10004</t>
  </si>
  <si>
    <t xml:space="preserve">Medium</t>
  </si>
  <si>
    <t xml:space="preserve">TCK-10005</t>
  </si>
  <si>
    <t xml:space="preserve">TCK-10006</t>
  </si>
  <si>
    <t xml:space="preserve">Phone</t>
  </si>
  <si>
    <t xml:space="preserve">TCK-10007</t>
  </si>
  <si>
    <t xml:space="preserve">Critical</t>
  </si>
  <si>
    <t xml:space="preserve">TCK-10008</t>
  </si>
  <si>
    <t xml:space="preserve">Access &amp; Accounts</t>
  </si>
  <si>
    <t xml:space="preserve">TCK-10009</t>
  </si>
  <si>
    <t xml:space="preserve">TCK-10010</t>
  </si>
  <si>
    <t xml:space="preserve">TCK-10011</t>
  </si>
  <si>
    <t xml:space="preserve">TCK-10012</t>
  </si>
  <si>
    <t xml:space="preserve">TCK-10013</t>
  </si>
  <si>
    <t xml:space="preserve">Network</t>
  </si>
  <si>
    <t xml:space="preserve">TCK-10014</t>
  </si>
  <si>
    <t xml:space="preserve">TCK-10015</t>
  </si>
  <si>
    <t xml:space="preserve">TCK-10016</t>
  </si>
  <si>
    <t xml:space="preserve">TCK-10017</t>
  </si>
  <si>
    <t xml:space="preserve">TCK-10018</t>
  </si>
  <si>
    <t xml:space="preserve">TCK-10019</t>
  </si>
  <si>
    <t xml:space="preserve">TCK-10020</t>
  </si>
  <si>
    <t xml:space="preserve">TCK-10021</t>
  </si>
  <si>
    <t xml:space="preserve">TCK-10022</t>
  </si>
  <si>
    <t xml:space="preserve">TCK-10023</t>
  </si>
  <si>
    <t xml:space="preserve">TCK-10024</t>
  </si>
  <si>
    <t xml:space="preserve">TCK-10025</t>
  </si>
  <si>
    <t xml:space="preserve">TCK-10026</t>
  </si>
  <si>
    <t xml:space="preserve">TCK-10027</t>
  </si>
  <si>
    <t xml:space="preserve">TCK-10028</t>
  </si>
  <si>
    <t xml:space="preserve">TCK-10029</t>
  </si>
  <si>
    <t xml:space="preserve">TCK-10030</t>
  </si>
  <si>
    <t xml:space="preserve">TCK-10031</t>
  </si>
  <si>
    <t xml:space="preserve">TCK-10032</t>
  </si>
  <si>
    <t xml:space="preserve">TCK-10033</t>
  </si>
  <si>
    <t xml:space="preserve">TCK-10034</t>
  </si>
  <si>
    <t xml:space="preserve">TCK-10035</t>
  </si>
  <si>
    <t xml:space="preserve">TCK-10036</t>
  </si>
  <si>
    <t xml:space="preserve">TCK-10037</t>
  </si>
  <si>
    <t xml:space="preserve">TCK-10038</t>
  </si>
  <si>
    <t xml:space="preserve">TCK-10039</t>
  </si>
  <si>
    <t xml:space="preserve">TCK-10040</t>
  </si>
  <si>
    <t xml:space="preserve">TCK-10041</t>
  </si>
  <si>
    <t xml:space="preserve">TCK-10042</t>
  </si>
  <si>
    <t xml:space="preserve">TCK-10043</t>
  </si>
  <si>
    <t xml:space="preserve">TCK-10044</t>
  </si>
  <si>
    <t xml:space="preserve">TCK-10045</t>
  </si>
  <si>
    <t xml:space="preserve">TCK-10046</t>
  </si>
  <si>
    <t xml:space="preserve">TCK-10047</t>
  </si>
  <si>
    <t xml:space="preserve">TCK-10048</t>
  </si>
  <si>
    <t xml:space="preserve">TCK-10049</t>
  </si>
  <si>
    <t xml:space="preserve">TCK-10050</t>
  </si>
  <si>
    <t xml:space="preserve">TCK-10051</t>
  </si>
  <si>
    <t xml:space="preserve">TCK-10052</t>
  </si>
  <si>
    <t xml:space="preserve">TCK-10053</t>
  </si>
  <si>
    <t xml:space="preserve">TCK-10054</t>
  </si>
  <si>
    <t xml:space="preserve">TCK-10055</t>
  </si>
  <si>
    <t xml:space="preserve">TCK-10056</t>
  </si>
  <si>
    <t xml:space="preserve">TCK-10057</t>
  </si>
  <si>
    <t xml:space="preserve">TCK-10058</t>
  </si>
  <si>
    <t xml:space="preserve">TCK-10059</t>
  </si>
  <si>
    <t xml:space="preserve">TCK-10060</t>
  </si>
  <si>
    <t xml:space="preserve">TCK-10061</t>
  </si>
  <si>
    <t xml:space="preserve">TCK-10062</t>
  </si>
  <si>
    <t xml:space="preserve">TCK-10063</t>
  </si>
  <si>
    <t xml:space="preserve">TCK-10064</t>
  </si>
  <si>
    <t xml:space="preserve">TCK-10065</t>
  </si>
  <si>
    <t xml:space="preserve">TCK-10066</t>
  </si>
  <si>
    <t xml:space="preserve">TCK-10067</t>
  </si>
  <si>
    <t xml:space="preserve">TCK-10068</t>
  </si>
  <si>
    <t xml:space="preserve">TCK-10069</t>
  </si>
  <si>
    <t xml:space="preserve">TCK-10070</t>
  </si>
  <si>
    <t xml:space="preserve">TCK-10071</t>
  </si>
  <si>
    <t xml:space="preserve">TCK-10072</t>
  </si>
  <si>
    <t xml:space="preserve">TCK-10073</t>
  </si>
  <si>
    <t xml:space="preserve">TCK-10074</t>
  </si>
  <si>
    <t xml:space="preserve">TCK-10075</t>
  </si>
  <si>
    <t xml:space="preserve">TCK-10076</t>
  </si>
  <si>
    <t xml:space="preserve">TCK-10077</t>
  </si>
  <si>
    <t xml:space="preserve">TCK-10078</t>
  </si>
  <si>
    <t xml:space="preserve">TCK-10079</t>
  </si>
  <si>
    <t xml:space="preserve">TCK-10080</t>
  </si>
  <si>
    <t xml:space="preserve">TCK-10081</t>
  </si>
  <si>
    <t xml:space="preserve">TCK-10082</t>
  </si>
  <si>
    <t xml:space="preserve">TCK-10083</t>
  </si>
  <si>
    <t xml:space="preserve">TCK-10084</t>
  </si>
  <si>
    <t xml:space="preserve">TCK-10085</t>
  </si>
  <si>
    <t xml:space="preserve">TCK-10086</t>
  </si>
  <si>
    <t xml:space="preserve">TCK-10087</t>
  </si>
  <si>
    <t xml:space="preserve">TCK-10088</t>
  </si>
  <si>
    <t xml:space="preserve">TCK-10089</t>
  </si>
  <si>
    <t xml:space="preserve">TCK-10090</t>
  </si>
  <si>
    <t xml:space="preserve">TCK-10091</t>
  </si>
  <si>
    <t xml:space="preserve">TCK-10092</t>
  </si>
  <si>
    <t xml:space="preserve">TCK-10093</t>
  </si>
  <si>
    <t xml:space="preserve">TCK-10094</t>
  </si>
  <si>
    <t xml:space="preserve">TCK-10095</t>
  </si>
  <si>
    <t xml:space="preserve">TCK-10096</t>
  </si>
  <si>
    <t xml:space="preserve">TCK-10097</t>
  </si>
  <si>
    <t xml:space="preserve">TCK-10098</t>
  </si>
  <si>
    <t xml:space="preserve">TCK-10099</t>
  </si>
  <si>
    <t xml:space="preserve">TCK-10100</t>
  </si>
  <si>
    <t xml:space="preserve">TCK-10101</t>
  </si>
  <si>
    <t xml:space="preserve">TCK-10102</t>
  </si>
  <si>
    <t xml:space="preserve">TCK-10103</t>
  </si>
  <si>
    <t xml:space="preserve">TCK-10104</t>
  </si>
  <si>
    <t xml:space="preserve">TCK-10105</t>
  </si>
  <si>
    <t xml:space="preserve">TCK-10106</t>
  </si>
  <si>
    <t xml:space="preserve">TCK-10107</t>
  </si>
  <si>
    <t xml:space="preserve">TCK-10108</t>
  </si>
  <si>
    <t xml:space="preserve">TCK-10109</t>
  </si>
  <si>
    <t xml:space="preserve">TCK-10110</t>
  </si>
  <si>
    <t xml:space="preserve">TCK-10111</t>
  </si>
  <si>
    <t xml:space="preserve">TCK-10112</t>
  </si>
  <si>
    <t xml:space="preserve">TCK-10113</t>
  </si>
  <si>
    <t xml:space="preserve">TCK-10114</t>
  </si>
  <si>
    <t xml:space="preserve">TCK-10115</t>
  </si>
  <si>
    <t xml:space="preserve">TCK-10116</t>
  </si>
  <si>
    <t xml:space="preserve">TCK-10117</t>
  </si>
  <si>
    <t xml:space="preserve">TCK-10118</t>
  </si>
  <si>
    <t xml:space="preserve">TCK-10119</t>
  </si>
  <si>
    <t xml:space="preserve">TCK-10120</t>
  </si>
  <si>
    <t xml:space="preserve">TCK-10121</t>
  </si>
  <si>
    <t xml:space="preserve">TCK-10122</t>
  </si>
  <si>
    <t xml:space="preserve">TCK-10123</t>
  </si>
  <si>
    <t xml:space="preserve">TCK-10124</t>
  </si>
  <si>
    <t xml:space="preserve">TCK-10125</t>
  </si>
  <si>
    <t xml:space="preserve">TCK-10126</t>
  </si>
  <si>
    <t xml:space="preserve">TCK-10127</t>
  </si>
  <si>
    <t xml:space="preserve">TCK-10128</t>
  </si>
  <si>
    <t xml:space="preserve">TCK-10129</t>
  </si>
  <si>
    <t xml:space="preserve">TCK-10130</t>
  </si>
  <si>
    <t xml:space="preserve">TCK-10131</t>
  </si>
  <si>
    <t xml:space="preserve">TCK-10132</t>
  </si>
  <si>
    <t xml:space="preserve">TCK-10133</t>
  </si>
  <si>
    <t xml:space="preserve">TCK-10134</t>
  </si>
  <si>
    <t xml:space="preserve">TCK-10135</t>
  </si>
  <si>
    <t xml:space="preserve">TCK-10136</t>
  </si>
  <si>
    <t xml:space="preserve">TCK-10137</t>
  </si>
  <si>
    <t xml:space="preserve">TCK-10138</t>
  </si>
  <si>
    <t xml:space="preserve">TCK-10139</t>
  </si>
  <si>
    <t xml:space="preserve">TCK-10140</t>
  </si>
  <si>
    <t xml:space="preserve">TCK-10141</t>
  </si>
  <si>
    <t xml:space="preserve">TCK-10142</t>
  </si>
  <si>
    <t xml:space="preserve">TCK-10143</t>
  </si>
  <si>
    <t xml:space="preserve">TCK-10144</t>
  </si>
  <si>
    <t xml:space="preserve">TCK-10145</t>
  </si>
  <si>
    <t xml:space="preserve">TCK-10146</t>
  </si>
  <si>
    <t xml:space="preserve">TCK-10147</t>
  </si>
  <si>
    <t xml:space="preserve">TCK-10148</t>
  </si>
  <si>
    <t xml:space="preserve">TCK-10149</t>
  </si>
  <si>
    <t xml:space="preserve">TCK-10150</t>
  </si>
  <si>
    <t xml:space="preserve">TCK-10151</t>
  </si>
  <si>
    <t xml:space="preserve">TCK-10152</t>
  </si>
  <si>
    <t xml:space="preserve">TCK-10153</t>
  </si>
  <si>
    <t xml:space="preserve">TCK-10154</t>
  </si>
  <si>
    <t xml:space="preserve">TCK-10155</t>
  </si>
  <si>
    <t xml:space="preserve">TCK-10156</t>
  </si>
  <si>
    <t xml:space="preserve">TCK-10157</t>
  </si>
  <si>
    <t xml:space="preserve">TCK-10158</t>
  </si>
  <si>
    <t xml:space="preserve">TCK-10159</t>
  </si>
  <si>
    <t xml:space="preserve">TCK-10160</t>
  </si>
  <si>
    <t xml:space="preserve">TCK-10161</t>
  </si>
  <si>
    <t xml:space="preserve">TCK-10162</t>
  </si>
  <si>
    <t xml:space="preserve">TCK-10163</t>
  </si>
  <si>
    <t xml:space="preserve">TCK-10164</t>
  </si>
  <si>
    <t xml:space="preserve">TCK-10165</t>
  </si>
  <si>
    <t xml:space="preserve">TCK-10166</t>
  </si>
  <si>
    <t xml:space="preserve">TCK-10167</t>
  </si>
  <si>
    <t xml:space="preserve">TCK-10168</t>
  </si>
  <si>
    <t xml:space="preserve">TCK-10169</t>
  </si>
  <si>
    <t xml:space="preserve">TCK-10170</t>
  </si>
  <si>
    <t xml:space="preserve">TCK-10171</t>
  </si>
  <si>
    <t xml:space="preserve">TCK-10172</t>
  </si>
  <si>
    <t xml:space="preserve">TCK-10173</t>
  </si>
  <si>
    <t xml:space="preserve">TCK-10174</t>
  </si>
  <si>
    <t xml:space="preserve">TCK-10175</t>
  </si>
  <si>
    <t xml:space="preserve">TCK-10176</t>
  </si>
  <si>
    <t xml:space="preserve">TCK-10177</t>
  </si>
  <si>
    <t xml:space="preserve">TCK-10178</t>
  </si>
  <si>
    <t xml:space="preserve">TCK-10179</t>
  </si>
  <si>
    <t xml:space="preserve">TCK-10180</t>
  </si>
  <si>
    <t xml:space="preserve">TCK-10181</t>
  </si>
  <si>
    <t xml:space="preserve">TCK-10182</t>
  </si>
  <si>
    <t xml:space="preserve">TCK-10183</t>
  </si>
  <si>
    <t xml:space="preserve">TCK-10184</t>
  </si>
  <si>
    <t xml:space="preserve">TCK-10185</t>
  </si>
  <si>
    <t xml:space="preserve">TCK-10186</t>
  </si>
  <si>
    <t xml:space="preserve">TCK-10187</t>
  </si>
  <si>
    <t xml:space="preserve">TCK-10188</t>
  </si>
  <si>
    <t xml:space="preserve">TCK-10189</t>
  </si>
  <si>
    <t xml:space="preserve">TCK-10190</t>
  </si>
  <si>
    <t xml:space="preserve">TCK-10191</t>
  </si>
  <si>
    <t xml:space="preserve">TCK-10192</t>
  </si>
  <si>
    <t xml:space="preserve">TCK-10193</t>
  </si>
  <si>
    <t xml:space="preserve">TCK-10194</t>
  </si>
  <si>
    <t xml:space="preserve">TCK-10195</t>
  </si>
  <si>
    <t xml:space="preserve">TCK-10196</t>
  </si>
  <si>
    <t xml:space="preserve">TCK-10197</t>
  </si>
  <si>
    <t xml:space="preserve">TCK-10198</t>
  </si>
  <si>
    <t xml:space="preserve">TCK-10199</t>
  </si>
  <si>
    <t xml:space="preserve">TCK-10200</t>
  </si>
  <si>
    <t xml:space="preserve">TCK-10201</t>
  </si>
  <si>
    <t xml:space="preserve">TCK-10202</t>
  </si>
  <si>
    <t xml:space="preserve">TCK-10203</t>
  </si>
  <si>
    <t xml:space="preserve">TCK-10204</t>
  </si>
  <si>
    <t xml:space="preserve">TCK-10205</t>
  </si>
  <si>
    <t xml:space="preserve">TCK-10206</t>
  </si>
  <si>
    <t xml:space="preserve">TCK-10207</t>
  </si>
  <si>
    <t xml:space="preserve">TCK-10208</t>
  </si>
  <si>
    <t xml:space="preserve">TCK-10209</t>
  </si>
  <si>
    <t xml:space="preserve">TCK-10210</t>
  </si>
  <si>
    <t xml:space="preserve">TCK-10211</t>
  </si>
  <si>
    <t xml:space="preserve">TCK-10212</t>
  </si>
  <si>
    <t xml:space="preserve">TCK-10213</t>
  </si>
  <si>
    <t xml:space="preserve">TCK-10214</t>
  </si>
  <si>
    <t xml:space="preserve">TCK-10215</t>
  </si>
  <si>
    <t xml:space="preserve">TCK-10216</t>
  </si>
  <si>
    <t xml:space="preserve">TCK-10217</t>
  </si>
  <si>
    <t xml:space="preserve">TCK-10218</t>
  </si>
  <si>
    <t xml:space="preserve">TCK-10219</t>
  </si>
  <si>
    <t xml:space="preserve">TCK-10220</t>
  </si>
  <si>
    <t xml:space="preserve">TCK-10221</t>
  </si>
  <si>
    <t xml:space="preserve">TCK-10222</t>
  </si>
  <si>
    <t xml:space="preserve">TCK-10223</t>
  </si>
  <si>
    <t xml:space="preserve">TCK-10224</t>
  </si>
  <si>
    <t xml:space="preserve">TCK-10225</t>
  </si>
  <si>
    <t xml:space="preserve">TCK-10226</t>
  </si>
  <si>
    <t xml:space="preserve">TCK-10227</t>
  </si>
  <si>
    <t xml:space="preserve">TCK-10228</t>
  </si>
  <si>
    <t xml:space="preserve">TCK-10229</t>
  </si>
  <si>
    <t xml:space="preserve">TCK-10230</t>
  </si>
  <si>
    <t xml:space="preserve">TCK-10231</t>
  </si>
  <si>
    <t xml:space="preserve">TCK-10232</t>
  </si>
  <si>
    <t xml:space="preserve">TCK-10233</t>
  </si>
  <si>
    <t xml:space="preserve">TCK-10234</t>
  </si>
  <si>
    <t xml:space="preserve">TCK-10235</t>
  </si>
  <si>
    <t xml:space="preserve">TCK-10236</t>
  </si>
  <si>
    <t xml:space="preserve">TCK-10237</t>
  </si>
  <si>
    <t xml:space="preserve">TCK-10238</t>
  </si>
  <si>
    <t xml:space="preserve">TCK-10239</t>
  </si>
  <si>
    <t xml:space="preserve">TCK-10240</t>
  </si>
  <si>
    <t xml:space="preserve">TCK-10241</t>
  </si>
  <si>
    <t xml:space="preserve">TCK-10242</t>
  </si>
  <si>
    <t xml:space="preserve">TCK-10243</t>
  </si>
  <si>
    <t xml:space="preserve">TCK-10244</t>
  </si>
  <si>
    <t xml:space="preserve">TCK-10245</t>
  </si>
  <si>
    <t xml:space="preserve">TCK-10246</t>
  </si>
  <si>
    <t xml:space="preserve">TCK-10247</t>
  </si>
  <si>
    <t xml:space="preserve">TCK-10248</t>
  </si>
  <si>
    <t xml:space="preserve">TCK-10249</t>
  </si>
  <si>
    <t xml:space="preserve">TCK-10250</t>
  </si>
  <si>
    <t xml:space="preserve">TCK-10251</t>
  </si>
  <si>
    <t xml:space="preserve">TCK-10252</t>
  </si>
  <si>
    <t xml:space="preserve">TCK-10253</t>
  </si>
  <si>
    <t xml:space="preserve">TCK-10254</t>
  </si>
  <si>
    <t xml:space="preserve">TCK-10255</t>
  </si>
  <si>
    <t xml:space="preserve">TCK-10256</t>
  </si>
  <si>
    <t xml:space="preserve">TCK-10257</t>
  </si>
  <si>
    <t xml:space="preserve">TCK-10258</t>
  </si>
  <si>
    <t xml:space="preserve">TCK-10259</t>
  </si>
  <si>
    <t xml:space="preserve">TCK-10260</t>
  </si>
  <si>
    <t xml:space="preserve">TCK-10261</t>
  </si>
  <si>
    <t xml:space="preserve">TCK-10262</t>
  </si>
  <si>
    <t xml:space="preserve">TCK-10263</t>
  </si>
  <si>
    <t xml:space="preserve">TCK-10264</t>
  </si>
  <si>
    <t xml:space="preserve">TCK-10265</t>
  </si>
  <si>
    <t xml:space="preserve">TCK-10266</t>
  </si>
  <si>
    <t xml:space="preserve">TCK-10267</t>
  </si>
  <si>
    <t xml:space="preserve">TCK-10268</t>
  </si>
  <si>
    <t xml:space="preserve">TCK-10269</t>
  </si>
  <si>
    <t xml:space="preserve">TCK-10270</t>
  </si>
  <si>
    <t xml:space="preserve">TCK-10271</t>
  </si>
  <si>
    <t xml:space="preserve">TCK-10272</t>
  </si>
  <si>
    <t xml:space="preserve">TCK-10273</t>
  </si>
  <si>
    <t xml:space="preserve">TCK-10274</t>
  </si>
  <si>
    <t xml:space="preserve">TCK-10275</t>
  </si>
  <si>
    <t xml:space="preserve">TCK-10276</t>
  </si>
  <si>
    <t xml:space="preserve">TCK-10277</t>
  </si>
  <si>
    <t xml:space="preserve">TCK-10278</t>
  </si>
  <si>
    <t xml:space="preserve">TCK-10279</t>
  </si>
  <si>
    <t xml:space="preserve">TCK-10280</t>
  </si>
  <si>
    <t xml:space="preserve">TCK-10281</t>
  </si>
  <si>
    <t xml:space="preserve">TCK-10282</t>
  </si>
  <si>
    <t xml:space="preserve">TCK-10283</t>
  </si>
  <si>
    <t xml:space="preserve">TCK-10284</t>
  </si>
  <si>
    <t xml:space="preserve">TCK-10285</t>
  </si>
  <si>
    <t xml:space="preserve">TCK-10286</t>
  </si>
  <si>
    <t xml:space="preserve">TCK-10287</t>
  </si>
  <si>
    <t xml:space="preserve">TCK-10288</t>
  </si>
  <si>
    <t xml:space="preserve">TCK-10289</t>
  </si>
  <si>
    <t xml:space="preserve">TCK-10290</t>
  </si>
  <si>
    <t xml:space="preserve">TCK-10291</t>
  </si>
  <si>
    <t xml:space="preserve">TCK-10292</t>
  </si>
  <si>
    <t xml:space="preserve">TCK-10293</t>
  </si>
  <si>
    <t xml:space="preserve">TCK-10294</t>
  </si>
  <si>
    <t xml:space="preserve">TCK-10295</t>
  </si>
  <si>
    <t xml:space="preserve">TCK-10296</t>
  </si>
  <si>
    <t xml:space="preserve">TCK-10297</t>
  </si>
  <si>
    <t xml:space="preserve">TCK-10298</t>
  </si>
  <si>
    <t xml:space="preserve">TCK-10299</t>
  </si>
  <si>
    <t xml:space="preserve">TCK-10300</t>
  </si>
  <si>
    <t xml:space="preserve">TCK-10301</t>
  </si>
  <si>
    <t xml:space="preserve">TCK-10302</t>
  </si>
  <si>
    <t xml:space="preserve">TCK-10303</t>
  </si>
  <si>
    <t xml:space="preserve">TCK-10304</t>
  </si>
  <si>
    <t xml:space="preserve">TCK-10305</t>
  </si>
  <si>
    <t xml:space="preserve">TCK-10306</t>
  </si>
  <si>
    <t xml:space="preserve">TCK-10307</t>
  </si>
  <si>
    <t xml:space="preserve">TCK-10308</t>
  </si>
  <si>
    <t xml:space="preserve">TCK-10309</t>
  </si>
  <si>
    <t xml:space="preserve">TCK-10310</t>
  </si>
  <si>
    <t xml:space="preserve">TCK-10311</t>
  </si>
  <si>
    <t xml:space="preserve">TCK-10312</t>
  </si>
  <si>
    <t xml:space="preserve">TCK-10313</t>
  </si>
  <si>
    <t xml:space="preserve">TCK-10314</t>
  </si>
  <si>
    <t xml:space="preserve">TCK-10315</t>
  </si>
  <si>
    <t xml:space="preserve">TCK-10316</t>
  </si>
  <si>
    <t xml:space="preserve">TCK-10317</t>
  </si>
  <si>
    <t xml:space="preserve">TCK-10318</t>
  </si>
  <si>
    <t xml:space="preserve">TCK-10319</t>
  </si>
  <si>
    <t xml:space="preserve">TCK-10320</t>
  </si>
  <si>
    <t xml:space="preserve">TCK-10321</t>
  </si>
  <si>
    <t xml:space="preserve">TCK-10322</t>
  </si>
  <si>
    <t xml:space="preserve">TCK-10323</t>
  </si>
  <si>
    <t xml:space="preserve">TCK-10324</t>
  </si>
  <si>
    <t xml:space="preserve">TCK-10325</t>
  </si>
  <si>
    <t xml:space="preserve">TCK-10326</t>
  </si>
  <si>
    <t xml:space="preserve">TCK-10327</t>
  </si>
  <si>
    <t xml:space="preserve">TCK-10328</t>
  </si>
  <si>
    <t xml:space="preserve">TCK-10329</t>
  </si>
  <si>
    <t xml:space="preserve">TCK-10330</t>
  </si>
  <si>
    <t xml:space="preserve">TCK-10331</t>
  </si>
  <si>
    <t xml:space="preserve">TCK-10332</t>
  </si>
  <si>
    <t xml:space="preserve">TCK-10333</t>
  </si>
  <si>
    <t xml:space="preserve">TCK-10334</t>
  </si>
  <si>
    <t xml:space="preserve">TCK-10335</t>
  </si>
  <si>
    <t xml:space="preserve">TCK-10336</t>
  </si>
  <si>
    <t xml:space="preserve">TCK-10337</t>
  </si>
  <si>
    <t xml:space="preserve">TCK-10338</t>
  </si>
  <si>
    <t xml:space="preserve">TCK-10339</t>
  </si>
  <si>
    <t xml:space="preserve">TCK-10340</t>
  </si>
  <si>
    <t xml:space="preserve">TCK-10341</t>
  </si>
  <si>
    <t xml:space="preserve">TCK-10342</t>
  </si>
  <si>
    <t xml:space="preserve">TCK-10343</t>
  </si>
  <si>
    <t xml:space="preserve">TCK-10344</t>
  </si>
  <si>
    <t xml:space="preserve">TCK-10345</t>
  </si>
  <si>
    <t xml:space="preserve">TCK-10346</t>
  </si>
  <si>
    <t xml:space="preserve">TCK-10347</t>
  </si>
  <si>
    <t xml:space="preserve">TCK-10348</t>
  </si>
  <si>
    <t xml:space="preserve">TCK-10349</t>
  </si>
  <si>
    <t xml:space="preserve">TCK-10350</t>
  </si>
  <si>
    <t xml:space="preserve">TCK-10351</t>
  </si>
  <si>
    <t xml:space="preserve">TCK-10352</t>
  </si>
  <si>
    <t xml:space="preserve">TCK-10353</t>
  </si>
  <si>
    <t xml:space="preserve">TCK-10354</t>
  </si>
  <si>
    <t xml:space="preserve">TCK-10355</t>
  </si>
  <si>
    <t xml:space="preserve">TCK-10356</t>
  </si>
  <si>
    <t xml:space="preserve">TCK-10357</t>
  </si>
  <si>
    <t xml:space="preserve">TCK-10358</t>
  </si>
  <si>
    <t xml:space="preserve">TCK-10359</t>
  </si>
  <si>
    <t xml:space="preserve">TCK-10360</t>
  </si>
  <si>
    <t xml:space="preserve">TCK-10361</t>
  </si>
  <si>
    <t xml:space="preserve">TCK-10362</t>
  </si>
  <si>
    <t xml:space="preserve">TCK-10363</t>
  </si>
  <si>
    <t xml:space="preserve">TCK-10364</t>
  </si>
  <si>
    <t xml:space="preserve">TCK-10365</t>
  </si>
  <si>
    <t xml:space="preserve">TCK-10366</t>
  </si>
  <si>
    <t xml:space="preserve">TCK-10367</t>
  </si>
  <si>
    <t xml:space="preserve">TCK-10368</t>
  </si>
  <si>
    <t xml:space="preserve">TCK-10369</t>
  </si>
  <si>
    <t xml:space="preserve">TCK-10370</t>
  </si>
  <si>
    <t xml:space="preserve">TCK-10371</t>
  </si>
  <si>
    <t xml:space="preserve">TCK-10372</t>
  </si>
  <si>
    <t xml:space="preserve">TCK-10373</t>
  </si>
  <si>
    <t xml:space="preserve">TCK-10374</t>
  </si>
  <si>
    <t xml:space="preserve">TCK-10375</t>
  </si>
  <si>
    <t xml:space="preserve">TCK-10376</t>
  </si>
  <si>
    <t xml:space="preserve">TCK-10377</t>
  </si>
  <si>
    <t xml:space="preserve">TCK-10378</t>
  </si>
  <si>
    <t xml:space="preserve">TCK-10379</t>
  </si>
  <si>
    <t xml:space="preserve">TCK-10380</t>
  </si>
  <si>
    <t xml:space="preserve">TCK-10381</t>
  </si>
  <si>
    <t xml:space="preserve">TCK-10382</t>
  </si>
  <si>
    <t xml:space="preserve">TCK-10383</t>
  </si>
  <si>
    <t xml:space="preserve">TCK-10384</t>
  </si>
  <si>
    <t xml:space="preserve">TCK-10385</t>
  </si>
  <si>
    <t xml:space="preserve">TCK-10386</t>
  </si>
  <si>
    <t xml:space="preserve">TCK-10387</t>
  </si>
  <si>
    <t xml:space="preserve">TCK-10388</t>
  </si>
  <si>
    <t xml:space="preserve">TCK-10389</t>
  </si>
  <si>
    <t xml:space="preserve">TCK-10390</t>
  </si>
  <si>
    <t xml:space="preserve">TCK-10391</t>
  </si>
  <si>
    <t xml:space="preserve">TCK-10392</t>
  </si>
  <si>
    <t xml:space="preserve">TCK-10393</t>
  </si>
  <si>
    <t xml:space="preserve">TCK-10394</t>
  </si>
  <si>
    <t xml:space="preserve">TCK-10395</t>
  </si>
  <si>
    <t xml:space="preserve">TCK-10396</t>
  </si>
  <si>
    <t xml:space="preserve">TCK-10397</t>
  </si>
  <si>
    <t xml:space="preserve">TCK-10398</t>
  </si>
  <si>
    <t xml:space="preserve">TCK-10399</t>
  </si>
  <si>
    <t xml:space="preserve">TCK-10400</t>
  </si>
  <si>
    <t xml:space="preserve">TCK-10401</t>
  </si>
  <si>
    <t xml:space="preserve">TCK-10402</t>
  </si>
  <si>
    <t xml:space="preserve">TCK-10403</t>
  </si>
  <si>
    <t xml:space="preserve">TCK-10404</t>
  </si>
  <si>
    <t xml:space="preserve">TCK-10405</t>
  </si>
  <si>
    <t xml:space="preserve">TCK-10406</t>
  </si>
  <si>
    <t xml:space="preserve">TCK-10407</t>
  </si>
  <si>
    <t xml:space="preserve">TCK-10408</t>
  </si>
  <si>
    <t xml:space="preserve">TCK-10409</t>
  </si>
  <si>
    <t xml:space="preserve">TCK-10410</t>
  </si>
  <si>
    <t xml:space="preserve">TCK-10411</t>
  </si>
  <si>
    <t xml:space="preserve">TCK-10412</t>
  </si>
  <si>
    <t xml:space="preserve">TCK-10413</t>
  </si>
  <si>
    <t xml:space="preserve">TCK-10414</t>
  </si>
  <si>
    <t xml:space="preserve">TCK-10415</t>
  </si>
  <si>
    <t xml:space="preserve">TCK-10416</t>
  </si>
  <si>
    <t xml:space="preserve">TCK-10417</t>
  </si>
  <si>
    <t xml:space="preserve">TCK-10418</t>
  </si>
  <si>
    <t xml:space="preserve">TCK-10419</t>
  </si>
  <si>
    <t xml:space="preserve">TCK-10420</t>
  </si>
  <si>
    <t xml:space="preserve">TCK-10421</t>
  </si>
  <si>
    <t xml:space="preserve">TCK-10422</t>
  </si>
  <si>
    <t xml:space="preserve">TCK-10423</t>
  </si>
  <si>
    <t xml:space="preserve">TCK-10424</t>
  </si>
  <si>
    <t xml:space="preserve">TCK-10425</t>
  </si>
  <si>
    <t xml:space="preserve">TCK-10426</t>
  </si>
  <si>
    <t xml:space="preserve">TCK-10427</t>
  </si>
  <si>
    <t xml:space="preserve">TCK-10428</t>
  </si>
  <si>
    <t xml:space="preserve">TCK-10429</t>
  </si>
  <si>
    <t xml:space="preserve">TCK-10430</t>
  </si>
  <si>
    <t xml:space="preserve">TCK-10431</t>
  </si>
  <si>
    <t xml:space="preserve">TCK-10432</t>
  </si>
  <si>
    <t xml:space="preserve">TCK-10433</t>
  </si>
  <si>
    <t xml:space="preserve">TCK-10434</t>
  </si>
  <si>
    <t xml:space="preserve">TCK-10435</t>
  </si>
  <si>
    <t xml:space="preserve">TCK-10436</t>
  </si>
  <si>
    <t xml:space="preserve">TCK-10437</t>
  </si>
  <si>
    <t xml:space="preserve">TCK-10438</t>
  </si>
  <si>
    <t xml:space="preserve">TCK-10439</t>
  </si>
  <si>
    <t xml:space="preserve">TCK-10440</t>
  </si>
  <si>
    <t xml:space="preserve">TCK-10441</t>
  </si>
  <si>
    <t xml:space="preserve">TCK-10442</t>
  </si>
  <si>
    <t xml:space="preserve">TCK-10443</t>
  </si>
  <si>
    <t xml:space="preserve">TCK-10444</t>
  </si>
  <si>
    <t xml:space="preserve">TCK-10445</t>
  </si>
  <si>
    <t xml:space="preserve">TCK-10446</t>
  </si>
  <si>
    <t xml:space="preserve">TCK-10447</t>
  </si>
  <si>
    <t xml:space="preserve">TCK-10448</t>
  </si>
  <si>
    <t xml:space="preserve">TCK-10449</t>
  </si>
  <si>
    <t xml:space="preserve">TCK-10450</t>
  </si>
  <si>
    <t xml:space="preserve">TCK-10451</t>
  </si>
  <si>
    <t xml:space="preserve">TCK-10452</t>
  </si>
  <si>
    <t xml:space="preserve">TCK-10453</t>
  </si>
  <si>
    <t xml:space="preserve">TCK-10454</t>
  </si>
  <si>
    <t xml:space="preserve">TCK-10455</t>
  </si>
  <si>
    <t xml:space="preserve">TCK-10456</t>
  </si>
  <si>
    <t xml:space="preserve">TCK-10457</t>
  </si>
  <si>
    <t xml:space="preserve">TCK-10458</t>
  </si>
  <si>
    <t xml:space="preserve">TCK-10459</t>
  </si>
  <si>
    <t xml:space="preserve">TCK-10460</t>
  </si>
  <si>
    <t xml:space="preserve">TCK-10461</t>
  </si>
  <si>
    <t xml:space="preserve">TCK-10462</t>
  </si>
  <si>
    <t xml:space="preserve">TCK-10463</t>
  </si>
  <si>
    <t xml:space="preserve">TCK-10464</t>
  </si>
  <si>
    <t xml:space="preserve">TCK-10465</t>
  </si>
  <si>
    <t xml:space="preserve">TCK-10466</t>
  </si>
  <si>
    <t xml:space="preserve">TCK-10467</t>
  </si>
  <si>
    <t xml:space="preserve">TCK-10468</t>
  </si>
  <si>
    <t xml:space="preserve">TCK-10469</t>
  </si>
  <si>
    <t xml:space="preserve">TCK-10470</t>
  </si>
  <si>
    <t xml:space="preserve">TCK-10471</t>
  </si>
  <si>
    <t xml:space="preserve">TCK-10472</t>
  </si>
  <si>
    <t xml:space="preserve">TCK-10473</t>
  </si>
  <si>
    <t xml:space="preserve">TCK-10474</t>
  </si>
  <si>
    <t xml:space="preserve">TCK-10475</t>
  </si>
  <si>
    <t xml:space="preserve">TCK-10476</t>
  </si>
  <si>
    <t xml:space="preserve">TCK-10477</t>
  </si>
  <si>
    <t xml:space="preserve">TCK-10478</t>
  </si>
  <si>
    <t xml:space="preserve">TCK-10479</t>
  </si>
  <si>
    <t xml:space="preserve">TCK-10480</t>
  </si>
  <si>
    <t xml:space="preserve">TCK-10481</t>
  </si>
  <si>
    <t xml:space="preserve">TCK-10482</t>
  </si>
  <si>
    <t xml:space="preserve">TCK-10483</t>
  </si>
  <si>
    <t xml:space="preserve">TCK-10484</t>
  </si>
  <si>
    <t xml:space="preserve">TCK-10485</t>
  </si>
  <si>
    <t xml:space="preserve">TCK-10486</t>
  </si>
  <si>
    <t xml:space="preserve">TCK-10487</t>
  </si>
  <si>
    <t xml:space="preserve">TCK-10488</t>
  </si>
  <si>
    <t xml:space="preserve">TCK-10489</t>
  </si>
  <si>
    <t xml:space="preserve">TCK-10490</t>
  </si>
  <si>
    <t xml:space="preserve">TCK-10491</t>
  </si>
  <si>
    <t xml:space="preserve">TCK-10492</t>
  </si>
  <si>
    <t xml:space="preserve">TCK-10493</t>
  </si>
  <si>
    <t xml:space="preserve">TCK-10494</t>
  </si>
  <si>
    <t xml:space="preserve">TCK-10495</t>
  </si>
  <si>
    <t xml:space="preserve">TCK-10496</t>
  </si>
  <si>
    <t xml:space="preserve">TCK-10497</t>
  </si>
  <si>
    <t xml:space="preserve">TCK-10498</t>
  </si>
  <si>
    <t xml:space="preserve">TCK-10499</t>
  </si>
  <si>
    <t xml:space="preserve">TCK-10500</t>
  </si>
  <si>
    <t xml:space="preserve">TCK-10501</t>
  </si>
  <si>
    <t xml:space="preserve">TCK-10502</t>
  </si>
  <si>
    <t xml:space="preserve">TCK-10503</t>
  </si>
  <si>
    <t xml:space="preserve">TCK-10504</t>
  </si>
  <si>
    <t xml:space="preserve">TCK-10505</t>
  </si>
  <si>
    <t xml:space="preserve">TCK-10506</t>
  </si>
  <si>
    <t xml:space="preserve">TCK-10507</t>
  </si>
  <si>
    <t xml:space="preserve">TCK-10508</t>
  </si>
  <si>
    <t xml:space="preserve">TCK-10509</t>
  </si>
  <si>
    <t xml:space="preserve">TCK-10510</t>
  </si>
  <si>
    <t xml:space="preserve">TCK-10511</t>
  </si>
  <si>
    <t xml:space="preserve">TCK-10512</t>
  </si>
  <si>
    <t xml:space="preserve">TCK-10513</t>
  </si>
  <si>
    <t xml:space="preserve">TCK-10514</t>
  </si>
  <si>
    <t xml:space="preserve">TCK-10515</t>
  </si>
  <si>
    <t xml:space="preserve">TCK-10516</t>
  </si>
  <si>
    <t xml:space="preserve">TCK-10517</t>
  </si>
  <si>
    <t xml:space="preserve">TCK-10518</t>
  </si>
  <si>
    <t xml:space="preserve">TCK-10519</t>
  </si>
  <si>
    <t xml:space="preserve">TCK-10520</t>
  </si>
  <si>
    <t xml:space="preserve">TCK-10521</t>
  </si>
  <si>
    <t xml:space="preserve">TCK-10522</t>
  </si>
  <si>
    <t xml:space="preserve">TCK-10523</t>
  </si>
  <si>
    <t xml:space="preserve">TCK-10524</t>
  </si>
  <si>
    <t xml:space="preserve">TCK-10525</t>
  </si>
  <si>
    <t xml:space="preserve">TCK-10526</t>
  </si>
  <si>
    <t xml:space="preserve">TCK-10527</t>
  </si>
  <si>
    <t xml:space="preserve">TCK-10528</t>
  </si>
  <si>
    <t xml:space="preserve">TCK-10529</t>
  </si>
  <si>
    <t xml:space="preserve">TCK-10530</t>
  </si>
  <si>
    <t xml:space="preserve">TCK-10531</t>
  </si>
  <si>
    <t xml:space="preserve">TCK-10532</t>
  </si>
  <si>
    <t xml:space="preserve">TCK-10533</t>
  </si>
  <si>
    <t xml:space="preserve">TCK-10534</t>
  </si>
  <si>
    <t xml:space="preserve">TCK-10535</t>
  </si>
  <si>
    <t xml:space="preserve">TCK-10536</t>
  </si>
  <si>
    <t xml:space="preserve">TCK-10537</t>
  </si>
  <si>
    <t xml:space="preserve">TCK-10538</t>
  </si>
  <si>
    <t xml:space="preserve">TCK-10539</t>
  </si>
  <si>
    <t xml:space="preserve">TCK-10540</t>
  </si>
  <si>
    <t xml:space="preserve">TCK-10541</t>
  </si>
  <si>
    <t xml:space="preserve">TCK-10542</t>
  </si>
  <si>
    <t xml:space="preserve">TCK-10543</t>
  </si>
  <si>
    <t xml:space="preserve">TCK-10544</t>
  </si>
  <si>
    <t xml:space="preserve">TCK-10545</t>
  </si>
  <si>
    <t xml:space="preserve">TCK-10546</t>
  </si>
  <si>
    <t xml:space="preserve">TCK-10547</t>
  </si>
  <si>
    <t xml:space="preserve">TCK-10548</t>
  </si>
  <si>
    <t xml:space="preserve">TCK-10549</t>
  </si>
  <si>
    <t xml:space="preserve">TCK-10550</t>
  </si>
  <si>
    <t xml:space="preserve">TCK-10551</t>
  </si>
  <si>
    <t xml:space="preserve">TCK-10552</t>
  </si>
  <si>
    <t xml:space="preserve">TCK-10553</t>
  </si>
  <si>
    <t xml:space="preserve">TCK-10554</t>
  </si>
  <si>
    <t xml:space="preserve">TCK-10555</t>
  </si>
  <si>
    <t xml:space="preserve">TCK-10556</t>
  </si>
  <si>
    <t xml:space="preserve">TCK-10557</t>
  </si>
  <si>
    <t xml:space="preserve">TCK-10558</t>
  </si>
  <si>
    <t xml:space="preserve">TCK-10559</t>
  </si>
  <si>
    <t xml:space="preserve">TCK-10560</t>
  </si>
  <si>
    <t xml:space="preserve">TCK-10561</t>
  </si>
  <si>
    <t xml:space="preserve">TCK-10562</t>
  </si>
  <si>
    <t xml:space="preserve">TCK-10563</t>
  </si>
  <si>
    <t xml:space="preserve">TCK-10564</t>
  </si>
  <si>
    <t xml:space="preserve">TCK-10565</t>
  </si>
  <si>
    <t xml:space="preserve">TCK-10566</t>
  </si>
  <si>
    <t xml:space="preserve">TCK-10567</t>
  </si>
  <si>
    <t xml:space="preserve">TCK-10568</t>
  </si>
  <si>
    <t xml:space="preserve">TCK-10569</t>
  </si>
  <si>
    <t xml:space="preserve">TCK-10570</t>
  </si>
  <si>
    <t xml:space="preserve">TCK-10571</t>
  </si>
  <si>
    <t xml:space="preserve">TCK-10572</t>
  </si>
  <si>
    <t xml:space="preserve">TCK-10573</t>
  </si>
  <si>
    <t xml:space="preserve">TCK-10574</t>
  </si>
  <si>
    <t xml:space="preserve">TCK-10575</t>
  </si>
  <si>
    <t xml:space="preserve">TCK-10576</t>
  </si>
  <si>
    <t xml:space="preserve">TCK-10577</t>
  </si>
  <si>
    <t xml:space="preserve">TCK-10578</t>
  </si>
  <si>
    <t xml:space="preserve">TCK-10579</t>
  </si>
  <si>
    <t xml:space="preserve">TCK-10580</t>
  </si>
  <si>
    <t xml:space="preserve">TCK-10581</t>
  </si>
  <si>
    <t xml:space="preserve">TCK-10582</t>
  </si>
  <si>
    <t xml:space="preserve">TCK-10583</t>
  </si>
  <si>
    <t xml:space="preserve">TCK-10584</t>
  </si>
  <si>
    <t xml:space="preserve">TCK-10585</t>
  </si>
  <si>
    <t xml:space="preserve">TCK-10586</t>
  </si>
  <si>
    <t xml:space="preserve">TCK-10587</t>
  </si>
  <si>
    <t xml:space="preserve">TCK-10588</t>
  </si>
  <si>
    <t xml:space="preserve">TCK-10589</t>
  </si>
  <si>
    <t xml:space="preserve">TCK-10590</t>
  </si>
  <si>
    <t xml:space="preserve">TCK-10591</t>
  </si>
  <si>
    <t xml:space="preserve">TCK-10592</t>
  </si>
  <si>
    <t xml:space="preserve">TCK-10593</t>
  </si>
  <si>
    <t xml:space="preserve">TCK-10594</t>
  </si>
  <si>
    <t xml:space="preserve">TCK-10595</t>
  </si>
  <si>
    <t xml:space="preserve">TCK-10596</t>
  </si>
  <si>
    <t xml:space="preserve">TCK-10597</t>
  </si>
  <si>
    <t xml:space="preserve">TCK-10598</t>
  </si>
  <si>
    <t xml:space="preserve">TCK-10599</t>
  </si>
  <si>
    <t xml:space="preserve">TCK-10600</t>
  </si>
  <si>
    <t xml:space="preserve">TCK-10601</t>
  </si>
  <si>
    <t xml:space="preserve">TCK-10602</t>
  </si>
  <si>
    <t xml:space="preserve">TCK-10603</t>
  </si>
  <si>
    <t xml:space="preserve">TCK-10604</t>
  </si>
  <si>
    <t xml:space="preserve">TCK-10605</t>
  </si>
  <si>
    <t xml:space="preserve">TCK-10606</t>
  </si>
  <si>
    <t xml:space="preserve">TCK-10607</t>
  </si>
  <si>
    <t xml:space="preserve">TCK-10608</t>
  </si>
  <si>
    <t xml:space="preserve">TCK-10609</t>
  </si>
  <si>
    <t xml:space="preserve">TCK-10610</t>
  </si>
  <si>
    <t xml:space="preserve">TCK-10611</t>
  </si>
  <si>
    <t xml:space="preserve">TCK-10612</t>
  </si>
  <si>
    <t xml:space="preserve">TCK-10613</t>
  </si>
  <si>
    <t xml:space="preserve">TCK-10614</t>
  </si>
  <si>
    <t xml:space="preserve">TCK-10615</t>
  </si>
  <si>
    <t xml:space="preserve">TCK-10616</t>
  </si>
  <si>
    <t xml:space="preserve">TCK-10617</t>
  </si>
  <si>
    <t xml:space="preserve">TCK-10618</t>
  </si>
  <si>
    <t xml:space="preserve">TCK-10619</t>
  </si>
  <si>
    <t xml:space="preserve">TCK-10620</t>
  </si>
  <si>
    <t xml:space="preserve">TCK-10621</t>
  </si>
  <si>
    <t xml:space="preserve">TCK-10622</t>
  </si>
  <si>
    <t xml:space="preserve">TCK-10623</t>
  </si>
  <si>
    <t xml:space="preserve">TCK-10624</t>
  </si>
  <si>
    <t xml:space="preserve">TCK-10625</t>
  </si>
  <si>
    <t xml:space="preserve">TCK-10626</t>
  </si>
  <si>
    <t xml:space="preserve">TCK-10627</t>
  </si>
  <si>
    <t xml:space="preserve">TCK-10628</t>
  </si>
  <si>
    <t xml:space="preserve">TCK-10629</t>
  </si>
  <si>
    <t xml:space="preserve">TCK-10630</t>
  </si>
  <si>
    <t xml:space="preserve">TCK-10631</t>
  </si>
  <si>
    <t xml:space="preserve">TCK-10632</t>
  </si>
  <si>
    <t xml:space="preserve">TCK-10633</t>
  </si>
  <si>
    <t xml:space="preserve">TCK-10634</t>
  </si>
  <si>
    <t xml:space="preserve">TCK-10635</t>
  </si>
  <si>
    <t xml:space="preserve">TCK-10636</t>
  </si>
  <si>
    <t xml:space="preserve">TCK-10637</t>
  </si>
  <si>
    <t xml:space="preserve">TCK-10638</t>
  </si>
  <si>
    <t xml:space="preserve">TCK-10639</t>
  </si>
  <si>
    <t xml:space="preserve">TCK-10640</t>
  </si>
  <si>
    <t xml:space="preserve">TCK-10641</t>
  </si>
  <si>
    <t xml:space="preserve">TCK-10642</t>
  </si>
  <si>
    <t xml:space="preserve">TCK-10643</t>
  </si>
  <si>
    <t xml:space="preserve">TCK-10644</t>
  </si>
  <si>
    <t xml:space="preserve">TCK-10645</t>
  </si>
  <si>
    <t xml:space="preserve">TCK-10646</t>
  </si>
  <si>
    <t xml:space="preserve">TCK-10647</t>
  </si>
  <si>
    <t xml:space="preserve">TCK-10648</t>
  </si>
  <si>
    <t xml:space="preserve">TCK-10649</t>
  </si>
  <si>
    <t xml:space="preserve">TCK-10650</t>
  </si>
  <si>
    <t xml:space="preserve">TCK-10651</t>
  </si>
  <si>
    <t xml:space="preserve">TCK-10652</t>
  </si>
  <si>
    <t xml:space="preserve">TCK-10653</t>
  </si>
  <si>
    <t xml:space="preserve">TCK-10654</t>
  </si>
  <si>
    <t xml:space="preserve">TCK-10655</t>
  </si>
  <si>
    <t xml:space="preserve">TCK-10656</t>
  </si>
  <si>
    <t xml:space="preserve">TCK-10657</t>
  </si>
  <si>
    <t xml:space="preserve">TCK-10658</t>
  </si>
  <si>
    <t xml:space="preserve">TCK-10659</t>
  </si>
  <si>
    <t xml:space="preserve">TCK-10660</t>
  </si>
  <si>
    <t xml:space="preserve">TCK-10661</t>
  </si>
  <si>
    <t xml:space="preserve">TCK-10662</t>
  </si>
  <si>
    <t xml:space="preserve">TCK-10663</t>
  </si>
  <si>
    <t xml:space="preserve">TCK-10664</t>
  </si>
  <si>
    <t xml:space="preserve">TCK-10665</t>
  </si>
  <si>
    <t xml:space="preserve">TCK-10666</t>
  </si>
  <si>
    <t xml:space="preserve">TCK-10667</t>
  </si>
  <si>
    <t xml:space="preserve">TCK-10668</t>
  </si>
  <si>
    <t xml:space="preserve">TCK-10669</t>
  </si>
  <si>
    <t xml:space="preserve">TCK-10670</t>
  </si>
  <si>
    <t xml:space="preserve">TCK-10671</t>
  </si>
  <si>
    <t xml:space="preserve">TCK-10672</t>
  </si>
  <si>
    <t xml:space="preserve">TCK-10673</t>
  </si>
  <si>
    <t xml:space="preserve">TCK-10674</t>
  </si>
  <si>
    <t xml:space="preserve">TCK-10675</t>
  </si>
  <si>
    <t xml:space="preserve">TCK-10676</t>
  </si>
  <si>
    <t xml:space="preserve">TCK-10677</t>
  </si>
  <si>
    <t xml:space="preserve">TCK-10678</t>
  </si>
  <si>
    <t xml:space="preserve">TCK-10679</t>
  </si>
  <si>
    <t xml:space="preserve">TCK-10680</t>
  </si>
  <si>
    <t xml:space="preserve">TCK-10681</t>
  </si>
  <si>
    <t xml:space="preserve">TCK-10682</t>
  </si>
  <si>
    <t xml:space="preserve">TCK-10683</t>
  </si>
  <si>
    <t xml:space="preserve">TCK-10684</t>
  </si>
  <si>
    <t xml:space="preserve">TCK-10685</t>
  </si>
  <si>
    <t xml:space="preserve">TCK-10686</t>
  </si>
  <si>
    <t xml:space="preserve">TCK-10687</t>
  </si>
  <si>
    <t xml:space="preserve">TCK-10688</t>
  </si>
  <si>
    <t xml:space="preserve">TCK-10689</t>
  </si>
  <si>
    <t xml:space="preserve">TCK-10690</t>
  </si>
  <si>
    <t xml:space="preserve">TCK-10691</t>
  </si>
  <si>
    <t xml:space="preserve">TCK-10692</t>
  </si>
  <si>
    <t xml:space="preserve">TCK-10693</t>
  </si>
  <si>
    <t xml:space="preserve">TCK-10694</t>
  </si>
  <si>
    <t xml:space="preserve">TCK-10695</t>
  </si>
  <si>
    <t xml:space="preserve">TCK-10696</t>
  </si>
  <si>
    <t xml:space="preserve">TCK-10697</t>
  </si>
  <si>
    <t xml:space="preserve">TCK-10698</t>
  </si>
  <si>
    <t xml:space="preserve">TCK-10699</t>
  </si>
  <si>
    <t xml:space="preserve">TCK-10700</t>
  </si>
  <si>
    <t xml:space="preserve">TCK-10701</t>
  </si>
  <si>
    <t xml:space="preserve">TCK-10702</t>
  </si>
  <si>
    <t xml:space="preserve">TCK-10703</t>
  </si>
  <si>
    <t xml:space="preserve">TCK-10704</t>
  </si>
  <si>
    <t xml:space="preserve">TCK-10705</t>
  </si>
  <si>
    <t xml:space="preserve">TCK-10706</t>
  </si>
  <si>
    <t xml:space="preserve">TCK-10707</t>
  </si>
  <si>
    <t xml:space="preserve">TCK-10708</t>
  </si>
  <si>
    <t xml:space="preserve">TCK-10709</t>
  </si>
  <si>
    <t xml:space="preserve">TCK-10710</t>
  </si>
  <si>
    <t xml:space="preserve">TCK-10711</t>
  </si>
  <si>
    <t xml:space="preserve">TCK-10712</t>
  </si>
  <si>
    <t xml:space="preserve">TCK-10713</t>
  </si>
  <si>
    <t xml:space="preserve">TCK-10714</t>
  </si>
  <si>
    <t xml:space="preserve">TCK-10715</t>
  </si>
  <si>
    <t xml:space="preserve">TCK-10716</t>
  </si>
  <si>
    <t xml:space="preserve">TCK-10717</t>
  </si>
  <si>
    <t xml:space="preserve">TCK-10718</t>
  </si>
  <si>
    <t xml:space="preserve">TCK-10719</t>
  </si>
  <si>
    <t xml:space="preserve">TCK-10720</t>
  </si>
  <si>
    <t xml:space="preserve">TCK-10721</t>
  </si>
  <si>
    <t xml:space="preserve">TCK-10722</t>
  </si>
  <si>
    <t xml:space="preserve">TCK-10723</t>
  </si>
  <si>
    <t xml:space="preserve">TCK-10724</t>
  </si>
  <si>
    <t xml:space="preserve">TCK-10725</t>
  </si>
  <si>
    <t xml:space="preserve">TCK-10726</t>
  </si>
  <si>
    <t xml:space="preserve">TCK-10727</t>
  </si>
  <si>
    <t xml:space="preserve">TCK-10728</t>
  </si>
  <si>
    <t xml:space="preserve">TCK-10729</t>
  </si>
  <si>
    <t xml:space="preserve">TCK-10730</t>
  </si>
  <si>
    <t xml:space="preserve">TCK-10731</t>
  </si>
  <si>
    <t xml:space="preserve">TCK-10732</t>
  </si>
  <si>
    <t xml:space="preserve">TCK-10733</t>
  </si>
  <si>
    <t xml:space="preserve">TCK-10734</t>
  </si>
  <si>
    <t xml:space="preserve">TCK-10735</t>
  </si>
  <si>
    <t xml:space="preserve">TCK-10736</t>
  </si>
  <si>
    <t xml:space="preserve">TCK-10737</t>
  </si>
  <si>
    <t xml:space="preserve">TCK-10738</t>
  </si>
  <si>
    <t xml:space="preserve">TCK-10739</t>
  </si>
  <si>
    <t xml:space="preserve">TCK-10740</t>
  </si>
  <si>
    <t xml:space="preserve">TCK-10741</t>
  </si>
  <si>
    <t xml:space="preserve">TCK-10742</t>
  </si>
  <si>
    <t xml:space="preserve">TCK-10743</t>
  </si>
  <si>
    <t xml:space="preserve">TCK-10744</t>
  </si>
  <si>
    <t xml:space="preserve">TCK-10745</t>
  </si>
  <si>
    <t xml:space="preserve">TCK-10746</t>
  </si>
  <si>
    <t xml:space="preserve">TCK-10747</t>
  </si>
  <si>
    <t xml:space="preserve">TCK-10748</t>
  </si>
  <si>
    <t xml:space="preserve">TCK-10749</t>
  </si>
  <si>
    <t xml:space="preserve">TCK-10750</t>
  </si>
  <si>
    <t xml:space="preserve">TCK-10751</t>
  </si>
  <si>
    <t xml:space="preserve">TCK-10752</t>
  </si>
  <si>
    <t xml:space="preserve">TCK-10753</t>
  </si>
  <si>
    <t xml:space="preserve">TCK-10754</t>
  </si>
  <si>
    <t xml:space="preserve">TCK-10755</t>
  </si>
  <si>
    <t xml:space="preserve">TCK-10756</t>
  </si>
  <si>
    <t xml:space="preserve">TCK-10757</t>
  </si>
  <si>
    <t xml:space="preserve">TCK-10758</t>
  </si>
  <si>
    <t xml:space="preserve">TCK-10759</t>
  </si>
  <si>
    <t xml:space="preserve">TCK-10760</t>
  </si>
  <si>
    <t xml:space="preserve">TCK-10761</t>
  </si>
  <si>
    <t xml:space="preserve">TCK-10762</t>
  </si>
  <si>
    <t xml:space="preserve">TCK-10763</t>
  </si>
  <si>
    <t xml:space="preserve">TCK-10764</t>
  </si>
  <si>
    <t xml:space="preserve">TCK-10765</t>
  </si>
  <si>
    <t xml:space="preserve">TCK-10766</t>
  </si>
  <si>
    <t xml:space="preserve">TCK-10767</t>
  </si>
  <si>
    <t xml:space="preserve">TCK-10768</t>
  </si>
  <si>
    <t xml:space="preserve">TCK-10769</t>
  </si>
  <si>
    <t xml:space="preserve">TCK-10770</t>
  </si>
  <si>
    <t xml:space="preserve">TCK-10771</t>
  </si>
  <si>
    <t xml:space="preserve">TCK-10772</t>
  </si>
  <si>
    <t xml:space="preserve">TCK-10773</t>
  </si>
  <si>
    <t xml:space="preserve">TCK-10774</t>
  </si>
  <si>
    <t xml:space="preserve">TCK-10775</t>
  </si>
  <si>
    <t xml:space="preserve">TCK-10776</t>
  </si>
  <si>
    <t xml:space="preserve">TCK-10777</t>
  </si>
  <si>
    <t xml:space="preserve">TCK-10778</t>
  </si>
  <si>
    <t xml:space="preserve">TCK-10779</t>
  </si>
  <si>
    <t xml:space="preserve">TCK-10780</t>
  </si>
  <si>
    <t xml:space="preserve">TCK-10781</t>
  </si>
  <si>
    <t xml:space="preserve">TCK-10782</t>
  </si>
  <si>
    <t xml:space="preserve">TCK-10783</t>
  </si>
  <si>
    <t xml:space="preserve">TCK-10784</t>
  </si>
  <si>
    <t xml:space="preserve">TCK-10785</t>
  </si>
  <si>
    <t xml:space="preserve">TCK-10786</t>
  </si>
  <si>
    <t xml:space="preserve">TCK-10787</t>
  </si>
  <si>
    <t xml:space="preserve">TCK-10788</t>
  </si>
  <si>
    <t xml:space="preserve">TCK-10789</t>
  </si>
  <si>
    <t xml:space="preserve">TCK-10790</t>
  </si>
  <si>
    <t xml:space="preserve">TCK-10791</t>
  </si>
  <si>
    <t xml:space="preserve">TCK-10792</t>
  </si>
  <si>
    <t xml:space="preserve">TCK-10793</t>
  </si>
  <si>
    <t xml:space="preserve">TCK-10794</t>
  </si>
  <si>
    <t xml:space="preserve">TCK-10795</t>
  </si>
  <si>
    <t xml:space="preserve">TCK-10796</t>
  </si>
  <si>
    <t xml:space="preserve">TCK-10797</t>
  </si>
  <si>
    <t xml:space="preserve">TCK-10798</t>
  </si>
  <si>
    <t xml:space="preserve">TCK-10799</t>
  </si>
  <si>
    <t xml:space="preserve">TCK-10800</t>
  </si>
  <si>
    <t xml:space="preserve">TCK-10801</t>
  </si>
  <si>
    <t xml:space="preserve">TCK-10802</t>
  </si>
  <si>
    <t xml:space="preserve">TCK-10803</t>
  </si>
  <si>
    <t xml:space="preserve">TCK-10804</t>
  </si>
  <si>
    <t xml:space="preserve">TCK-10805</t>
  </si>
  <si>
    <t xml:space="preserve">TCK-10806</t>
  </si>
  <si>
    <t xml:space="preserve">TCK-10807</t>
  </si>
  <si>
    <t xml:space="preserve">TCK-10808</t>
  </si>
  <si>
    <t xml:space="preserve">TCK-10809</t>
  </si>
  <si>
    <t xml:space="preserve">TCK-10810</t>
  </si>
  <si>
    <t xml:space="preserve">TCK-10811</t>
  </si>
  <si>
    <t xml:space="preserve">TCK-10812</t>
  </si>
  <si>
    <t xml:space="preserve">TCK-10813</t>
  </si>
  <si>
    <t xml:space="preserve">TCK-10814</t>
  </si>
  <si>
    <t xml:space="preserve">TCK-10815</t>
  </si>
  <si>
    <t xml:space="preserve">TCK-10816</t>
  </si>
  <si>
    <t xml:space="preserve">TCK-10817</t>
  </si>
  <si>
    <t xml:space="preserve">TCK-10818</t>
  </si>
  <si>
    <t xml:space="preserve">TCK-10819</t>
  </si>
  <si>
    <t xml:space="preserve">TCK-10820</t>
  </si>
  <si>
    <t xml:space="preserve">TCK-10821</t>
  </si>
  <si>
    <t xml:space="preserve">TCK-10822</t>
  </si>
  <si>
    <t xml:space="preserve">TCK-10823</t>
  </si>
  <si>
    <t xml:space="preserve">TCK-10824</t>
  </si>
  <si>
    <t xml:space="preserve">TCK-10825</t>
  </si>
  <si>
    <t xml:space="preserve">TCK-10826</t>
  </si>
  <si>
    <t xml:space="preserve">TCK-10827</t>
  </si>
  <si>
    <t xml:space="preserve">TCK-10828</t>
  </si>
  <si>
    <t xml:space="preserve">TCK-10829</t>
  </si>
  <si>
    <t xml:space="preserve">TCK-10830</t>
  </si>
  <si>
    <t xml:space="preserve">TCK-10831</t>
  </si>
  <si>
    <t xml:space="preserve">TCK-10832</t>
  </si>
  <si>
    <t xml:space="preserve">TCK-10833</t>
  </si>
  <si>
    <t xml:space="preserve">TCK-10834</t>
  </si>
  <si>
    <t xml:space="preserve">TCK-10835</t>
  </si>
  <si>
    <t xml:space="preserve">TCK-10836</t>
  </si>
  <si>
    <t xml:space="preserve">TCK-10837</t>
  </si>
  <si>
    <t xml:space="preserve">TCK-10838</t>
  </si>
  <si>
    <t xml:space="preserve">TCK-10839</t>
  </si>
  <si>
    <t xml:space="preserve">TCK-10840</t>
  </si>
  <si>
    <t xml:space="preserve">TCK-10841</t>
  </si>
  <si>
    <t xml:space="preserve">TCK-10842</t>
  </si>
  <si>
    <t xml:space="preserve">TCK-10843</t>
  </si>
  <si>
    <t xml:space="preserve">TCK-10844</t>
  </si>
  <si>
    <t xml:space="preserve">TCK-10845</t>
  </si>
  <si>
    <t xml:space="preserve">TCK-10846</t>
  </si>
  <si>
    <t xml:space="preserve">TCK-10847</t>
  </si>
  <si>
    <t xml:space="preserve">TCK-10848</t>
  </si>
  <si>
    <t xml:space="preserve">TCK-10849</t>
  </si>
  <si>
    <t xml:space="preserve">TCK-10850</t>
  </si>
  <si>
    <t xml:space="preserve">TCK-10851</t>
  </si>
  <si>
    <t xml:space="preserve">TCK-10852</t>
  </si>
  <si>
    <t xml:space="preserve">TCK-10853</t>
  </si>
  <si>
    <t xml:space="preserve">TCK-10854</t>
  </si>
  <si>
    <t xml:space="preserve">TCK-10855</t>
  </si>
  <si>
    <t xml:space="preserve">TCK-10856</t>
  </si>
  <si>
    <t xml:space="preserve">TCK-10857</t>
  </si>
  <si>
    <t xml:space="preserve">TCK-10858</t>
  </si>
  <si>
    <t xml:space="preserve">TCK-10859</t>
  </si>
  <si>
    <t xml:space="preserve">TCK-10860</t>
  </si>
  <si>
    <t xml:space="preserve">TCK-10861</t>
  </si>
  <si>
    <t xml:space="preserve">TCK-10862</t>
  </si>
  <si>
    <t xml:space="preserve">TCK-10863</t>
  </si>
  <si>
    <t xml:space="preserve">TCK-10864</t>
  </si>
  <si>
    <t xml:space="preserve">TCK-10865</t>
  </si>
  <si>
    <t xml:space="preserve">TCK-10866</t>
  </si>
  <si>
    <t xml:space="preserve">TCK-10867</t>
  </si>
  <si>
    <t xml:space="preserve">TCK-10868</t>
  </si>
  <si>
    <t xml:space="preserve">TCK-10869</t>
  </si>
  <si>
    <t xml:space="preserve">TCK-10870</t>
  </si>
  <si>
    <t xml:space="preserve">TCK-10871</t>
  </si>
  <si>
    <t xml:space="preserve">TCK-10872</t>
  </si>
  <si>
    <t xml:space="preserve">TCK-10873</t>
  </si>
  <si>
    <t xml:space="preserve">TCK-10874</t>
  </si>
  <si>
    <t xml:space="preserve">TCK-10875</t>
  </si>
  <si>
    <t xml:space="preserve">TCK-10876</t>
  </si>
  <si>
    <t xml:space="preserve">TCK-10877</t>
  </si>
  <si>
    <t xml:space="preserve">TCK-10878</t>
  </si>
  <si>
    <t xml:space="preserve">TCK-10879</t>
  </si>
  <si>
    <t xml:space="preserve">TCK-10880</t>
  </si>
  <si>
    <t xml:space="preserve">TCK-10881</t>
  </si>
  <si>
    <t xml:space="preserve">TCK-10882</t>
  </si>
  <si>
    <t xml:space="preserve">TCK-10883</t>
  </si>
  <si>
    <t xml:space="preserve">TCK-10884</t>
  </si>
  <si>
    <t xml:space="preserve">TCK-10885</t>
  </si>
  <si>
    <t xml:space="preserve">TCK-10886</t>
  </si>
  <si>
    <t xml:space="preserve">TCK-10887</t>
  </si>
  <si>
    <t xml:space="preserve">TCK-10888</t>
  </si>
  <si>
    <t xml:space="preserve">TCK-10889</t>
  </si>
  <si>
    <t xml:space="preserve">TCK-10890</t>
  </si>
  <si>
    <t xml:space="preserve">TCK-10891</t>
  </si>
  <si>
    <t xml:space="preserve">TCK-10892</t>
  </si>
  <si>
    <t xml:space="preserve">TCK-10893</t>
  </si>
  <si>
    <t xml:space="preserve">TCK-10894</t>
  </si>
  <si>
    <t xml:space="preserve">TCK-10895</t>
  </si>
  <si>
    <t xml:space="preserve">TCK-10896</t>
  </si>
  <si>
    <t xml:space="preserve">TCK-10897</t>
  </si>
  <si>
    <t xml:space="preserve">TCK-10898</t>
  </si>
  <si>
    <t xml:space="preserve">TCK-10899</t>
  </si>
  <si>
    <t xml:space="preserve">TCK-10900</t>
  </si>
  <si>
    <t xml:space="preserve">TCK-10901</t>
  </si>
  <si>
    <t xml:space="preserve">TCK-10902</t>
  </si>
  <si>
    <t xml:space="preserve">TCK-10903</t>
  </si>
  <si>
    <t xml:space="preserve">TCK-10904</t>
  </si>
  <si>
    <t xml:space="preserve">TCK-10905</t>
  </si>
  <si>
    <t xml:space="preserve">TCK-10906</t>
  </si>
  <si>
    <t xml:space="preserve">TCK-10907</t>
  </si>
  <si>
    <t xml:space="preserve">TCK-10908</t>
  </si>
  <si>
    <t xml:space="preserve">TCK-10909</t>
  </si>
  <si>
    <t xml:space="preserve">TCK-10910</t>
  </si>
  <si>
    <t xml:space="preserve">TCK-10911</t>
  </si>
  <si>
    <t xml:space="preserve">TCK-10912</t>
  </si>
  <si>
    <t xml:space="preserve">TCK-10913</t>
  </si>
  <si>
    <t xml:space="preserve">TCK-10914</t>
  </si>
  <si>
    <t xml:space="preserve">TCK-10915</t>
  </si>
  <si>
    <t xml:space="preserve">TCK-10916</t>
  </si>
  <si>
    <t xml:space="preserve">TCK-10917</t>
  </si>
  <si>
    <t xml:space="preserve">TCK-10918</t>
  </si>
  <si>
    <t xml:space="preserve">TCK-10919</t>
  </si>
  <si>
    <t xml:space="preserve">TCK-10920</t>
  </si>
  <si>
    <t xml:space="preserve">TCK-10921</t>
  </si>
  <si>
    <t xml:space="preserve">TCK-10922</t>
  </si>
  <si>
    <t xml:space="preserve">TCK-10923</t>
  </si>
  <si>
    <t xml:space="preserve">TCK-10924</t>
  </si>
  <si>
    <t xml:space="preserve">TCK-10925</t>
  </si>
  <si>
    <t xml:space="preserve">TCK-10926</t>
  </si>
  <si>
    <t xml:space="preserve">TCK-10927</t>
  </si>
  <si>
    <t xml:space="preserve">TCK-10928</t>
  </si>
  <si>
    <t xml:space="preserve">TCK-10929</t>
  </si>
  <si>
    <t xml:space="preserve">TCK-10930</t>
  </si>
  <si>
    <t xml:space="preserve">TCK-10931</t>
  </si>
  <si>
    <t xml:space="preserve">TCK-10932</t>
  </si>
  <si>
    <t xml:space="preserve">TCK-10933</t>
  </si>
  <si>
    <t xml:space="preserve">TCK-10934</t>
  </si>
  <si>
    <t xml:space="preserve">TCK-10935</t>
  </si>
  <si>
    <t xml:space="preserve">TCK-10936</t>
  </si>
  <si>
    <t xml:space="preserve">TCK-10937</t>
  </si>
  <si>
    <t xml:space="preserve">TCK-10938</t>
  </si>
  <si>
    <t xml:space="preserve">TCK-10939</t>
  </si>
  <si>
    <t xml:space="preserve">TCK-10940</t>
  </si>
  <si>
    <t xml:space="preserve">TCK-10941</t>
  </si>
  <si>
    <t xml:space="preserve">TCK-10942</t>
  </si>
  <si>
    <t xml:space="preserve">TCK-10943</t>
  </si>
  <si>
    <t xml:space="preserve">TCK-10944</t>
  </si>
  <si>
    <t xml:space="preserve">TCK-10945</t>
  </si>
  <si>
    <t xml:space="preserve">TCK-10946</t>
  </si>
  <si>
    <t xml:space="preserve">TCK-10947</t>
  </si>
  <si>
    <t xml:space="preserve">TCK-10948</t>
  </si>
  <si>
    <t xml:space="preserve">TCK-10949</t>
  </si>
  <si>
    <t xml:space="preserve">TCK-10950</t>
  </si>
  <si>
    <t xml:space="preserve">TCK-10951</t>
  </si>
  <si>
    <t xml:space="preserve">TCK-10952</t>
  </si>
  <si>
    <t xml:space="preserve">TCK-10953</t>
  </si>
  <si>
    <t xml:space="preserve">TCK-10954</t>
  </si>
  <si>
    <t xml:space="preserve">TCK-10955</t>
  </si>
  <si>
    <t xml:space="preserve">TCK-10956</t>
  </si>
  <si>
    <t xml:space="preserve">TCK-10957</t>
  </si>
  <si>
    <t xml:space="preserve">TCK-10958</t>
  </si>
  <si>
    <t xml:space="preserve">TCK-10959</t>
  </si>
  <si>
    <t xml:space="preserve">TCK-10960</t>
  </si>
  <si>
    <t xml:space="preserve">TCK-10961</t>
  </si>
  <si>
    <t xml:space="preserve">TCK-10962</t>
  </si>
  <si>
    <t xml:space="preserve">TCK-10963</t>
  </si>
  <si>
    <t xml:space="preserve">TCK-10964</t>
  </si>
  <si>
    <t xml:space="preserve">TCK-10965</t>
  </si>
  <si>
    <t xml:space="preserve">TCK-10966</t>
  </si>
  <si>
    <t xml:space="preserve">TCK-10967</t>
  </si>
  <si>
    <t xml:space="preserve">TCK-10968</t>
  </si>
  <si>
    <t xml:space="preserve">TCK-10969</t>
  </si>
  <si>
    <t xml:space="preserve">TCK-10970</t>
  </si>
  <si>
    <t xml:space="preserve">TCK-10971</t>
  </si>
  <si>
    <t xml:space="preserve">TCK-10972</t>
  </si>
  <si>
    <t xml:space="preserve">TCK-10973</t>
  </si>
  <si>
    <t xml:space="preserve">TCK-10974</t>
  </si>
  <si>
    <t xml:space="preserve">TCK-10975</t>
  </si>
  <si>
    <t xml:space="preserve">TCK-10976</t>
  </si>
  <si>
    <t xml:space="preserve">TCK-10977</t>
  </si>
  <si>
    <t xml:space="preserve">TCK-10978</t>
  </si>
  <si>
    <t xml:space="preserve">TCK-10979</t>
  </si>
  <si>
    <t xml:space="preserve">TCK-10980</t>
  </si>
  <si>
    <t xml:space="preserve">TCK-10981</t>
  </si>
  <si>
    <t xml:space="preserve">TCK-10982</t>
  </si>
  <si>
    <t xml:space="preserve">TCK-10983</t>
  </si>
  <si>
    <t xml:space="preserve">TCK-10984</t>
  </si>
  <si>
    <t xml:space="preserve">TCK-10985</t>
  </si>
  <si>
    <t xml:space="preserve">TCK-10986</t>
  </si>
  <si>
    <t xml:space="preserve">TCK-10987</t>
  </si>
  <si>
    <t xml:space="preserve">TCK-10988</t>
  </si>
  <si>
    <t xml:space="preserve">TCK-10989</t>
  </si>
  <si>
    <t xml:space="preserve">TCK-10990</t>
  </si>
  <si>
    <t xml:space="preserve">TCK-10991</t>
  </si>
  <si>
    <t xml:space="preserve">TCK-10992</t>
  </si>
  <si>
    <t xml:space="preserve">TCK-10993</t>
  </si>
  <si>
    <t xml:space="preserve">TCK-10994</t>
  </si>
  <si>
    <t xml:space="preserve">TCK-10995</t>
  </si>
  <si>
    <t xml:space="preserve">TCK-10996</t>
  </si>
  <si>
    <t xml:space="preserve">TCK-10997</t>
  </si>
  <si>
    <t xml:space="preserve">TCK-10998</t>
  </si>
  <si>
    <t xml:space="preserve">TCK-10999</t>
  </si>
  <si>
    <t xml:space="preserve">TCK-11000</t>
  </si>
  <si>
    <t xml:space="preserve">TCK-11001</t>
  </si>
  <si>
    <t xml:space="preserve">TCK-11002</t>
  </si>
  <si>
    <t xml:space="preserve">TCK-11003</t>
  </si>
  <si>
    <t xml:space="preserve">TCK-11004</t>
  </si>
  <si>
    <t xml:space="preserve">TCK-11005</t>
  </si>
  <si>
    <t xml:space="preserve">TCK-11006</t>
  </si>
  <si>
    <t xml:space="preserve">TCK-11007</t>
  </si>
  <si>
    <t xml:space="preserve">TCK-11008</t>
  </si>
  <si>
    <t xml:space="preserve">TCK-11009</t>
  </si>
  <si>
    <t xml:space="preserve">TCK-11010</t>
  </si>
  <si>
    <t xml:space="preserve">TCK-11011</t>
  </si>
  <si>
    <t xml:space="preserve">TCK-11012</t>
  </si>
  <si>
    <t xml:space="preserve">TCK-11013</t>
  </si>
  <si>
    <t xml:space="preserve">TCK-11014</t>
  </si>
  <si>
    <t xml:space="preserve">TCK-11015</t>
  </si>
  <si>
    <t xml:space="preserve">TCK-11016</t>
  </si>
  <si>
    <t xml:space="preserve">TCK-11017</t>
  </si>
  <si>
    <t xml:space="preserve">TCK-11018</t>
  </si>
  <si>
    <t xml:space="preserve">TCK-11019</t>
  </si>
  <si>
    <t xml:space="preserve">TCK-11020</t>
  </si>
  <si>
    <t xml:space="preserve">TCK-11021</t>
  </si>
  <si>
    <t xml:space="preserve">TCK-11022</t>
  </si>
  <si>
    <t xml:space="preserve">TCK-11023</t>
  </si>
  <si>
    <t xml:space="preserve">TCK-11024</t>
  </si>
  <si>
    <t xml:space="preserve">TCK-11025</t>
  </si>
  <si>
    <t xml:space="preserve">TCK-11026</t>
  </si>
  <si>
    <t xml:space="preserve">TCK-11027</t>
  </si>
  <si>
    <t xml:space="preserve">TCK-11028</t>
  </si>
  <si>
    <t xml:space="preserve">TCK-11029</t>
  </si>
  <si>
    <t xml:space="preserve">TCK-11030</t>
  </si>
  <si>
    <t xml:space="preserve">TCK-11031</t>
  </si>
  <si>
    <t xml:space="preserve">TCK-11032</t>
  </si>
  <si>
    <t xml:space="preserve">TCK-11033</t>
  </si>
  <si>
    <t xml:space="preserve">TCK-11034</t>
  </si>
  <si>
    <t xml:space="preserve">TCK-11035</t>
  </si>
  <si>
    <t xml:space="preserve">TCK-11036</t>
  </si>
  <si>
    <t xml:space="preserve">TCK-11037</t>
  </si>
  <si>
    <t xml:space="preserve">TCK-11038</t>
  </si>
  <si>
    <t xml:space="preserve">TCK-11039</t>
  </si>
  <si>
    <t xml:space="preserve">TCK-11040</t>
  </si>
  <si>
    <t xml:space="preserve">TCK-11041</t>
  </si>
  <si>
    <t xml:space="preserve">TCK-11042</t>
  </si>
  <si>
    <t xml:space="preserve">TCK-11043</t>
  </si>
  <si>
    <t xml:space="preserve">TCK-11044</t>
  </si>
  <si>
    <t xml:space="preserve">TCK-11045</t>
  </si>
  <si>
    <t xml:space="preserve">TCK-11046</t>
  </si>
  <si>
    <t xml:space="preserve">TCK-11047</t>
  </si>
  <si>
    <t xml:space="preserve">TCK-11048</t>
  </si>
  <si>
    <t xml:space="preserve">TCK-11049</t>
  </si>
  <si>
    <t xml:space="preserve">TCK-11050</t>
  </si>
  <si>
    <t xml:space="preserve">TCK-11051</t>
  </si>
  <si>
    <t xml:space="preserve">TCK-11052</t>
  </si>
  <si>
    <t xml:space="preserve">TCK-11053</t>
  </si>
  <si>
    <t xml:space="preserve">TCK-11054</t>
  </si>
  <si>
    <t xml:space="preserve">TCK-11055</t>
  </si>
  <si>
    <t xml:space="preserve">TCK-11056</t>
  </si>
  <si>
    <t xml:space="preserve">TCK-11057</t>
  </si>
  <si>
    <t xml:space="preserve">TCK-11058</t>
  </si>
  <si>
    <t xml:space="preserve">TCK-11059</t>
  </si>
  <si>
    <t xml:space="preserve">TCK-11060</t>
  </si>
  <si>
    <t xml:space="preserve">TCK-11061</t>
  </si>
  <si>
    <t xml:space="preserve">TCK-11062</t>
  </si>
  <si>
    <t xml:space="preserve">TCK-11063</t>
  </si>
  <si>
    <t xml:space="preserve">TCK-11064</t>
  </si>
  <si>
    <t xml:space="preserve">TCK-11065</t>
  </si>
  <si>
    <t xml:space="preserve">TCK-11066</t>
  </si>
  <si>
    <t xml:space="preserve">TCK-11067</t>
  </si>
  <si>
    <t xml:space="preserve">TCK-11068</t>
  </si>
  <si>
    <t xml:space="preserve">TCK-11069</t>
  </si>
  <si>
    <t xml:space="preserve">TCK-11070</t>
  </si>
  <si>
    <t xml:space="preserve">TCK-11071</t>
  </si>
  <si>
    <t xml:space="preserve">TCK-11072</t>
  </si>
  <si>
    <t xml:space="preserve">TCK-11073</t>
  </si>
  <si>
    <t xml:space="preserve">TCK-11074</t>
  </si>
  <si>
    <t xml:space="preserve">TCK-11075</t>
  </si>
  <si>
    <t xml:space="preserve">TCK-11076</t>
  </si>
  <si>
    <t xml:space="preserve">TCK-11077</t>
  </si>
  <si>
    <t xml:space="preserve">TCK-11078</t>
  </si>
  <si>
    <t xml:space="preserve">TCK-11079</t>
  </si>
  <si>
    <t xml:space="preserve">TCK-11080</t>
  </si>
  <si>
    <t xml:space="preserve">TCK-11081</t>
  </si>
  <si>
    <t xml:space="preserve">TCK-11082</t>
  </si>
  <si>
    <t xml:space="preserve">TCK-11083</t>
  </si>
  <si>
    <t xml:space="preserve">TCK-11084</t>
  </si>
  <si>
    <t xml:space="preserve">TCK-11085</t>
  </si>
  <si>
    <t xml:space="preserve">TCK-11086</t>
  </si>
  <si>
    <t xml:space="preserve">TCK-11087</t>
  </si>
  <si>
    <t xml:space="preserve">TCK-11088</t>
  </si>
  <si>
    <t xml:space="preserve">TCK-11089</t>
  </si>
  <si>
    <t xml:space="preserve">TCK-11090</t>
  </si>
  <si>
    <t xml:space="preserve">TCK-11091</t>
  </si>
  <si>
    <t xml:space="preserve">TCK-11092</t>
  </si>
  <si>
    <t xml:space="preserve">TCK-11093</t>
  </si>
  <si>
    <t xml:space="preserve">TCK-11094</t>
  </si>
  <si>
    <t xml:space="preserve">TCK-11095</t>
  </si>
  <si>
    <t xml:space="preserve">TCK-11096</t>
  </si>
  <si>
    <t xml:space="preserve">TCK-11097</t>
  </si>
  <si>
    <t xml:space="preserve">TCK-11098</t>
  </si>
  <si>
    <t xml:space="preserve">TCK-11099</t>
  </si>
  <si>
    <t xml:space="preserve">TCK-11100</t>
  </si>
  <si>
    <t xml:space="preserve">TCK-11101</t>
  </si>
  <si>
    <t xml:space="preserve">TCK-11102</t>
  </si>
  <si>
    <t xml:space="preserve">TCK-11103</t>
  </si>
  <si>
    <t xml:space="preserve">TCK-11104</t>
  </si>
  <si>
    <t xml:space="preserve">TCK-11105</t>
  </si>
  <si>
    <t xml:space="preserve">TCK-11106</t>
  </si>
  <si>
    <t xml:space="preserve">TCK-11107</t>
  </si>
  <si>
    <t xml:space="preserve">TCK-11108</t>
  </si>
  <si>
    <t xml:space="preserve">TCK-11109</t>
  </si>
  <si>
    <t xml:space="preserve">TCK-11110</t>
  </si>
  <si>
    <t xml:space="preserve">TCK-11111</t>
  </si>
  <si>
    <t xml:space="preserve">TCK-11112</t>
  </si>
  <si>
    <t xml:space="preserve">TCK-11113</t>
  </si>
  <si>
    <t xml:space="preserve">TCK-11114</t>
  </si>
  <si>
    <t xml:space="preserve">TCK-11115</t>
  </si>
  <si>
    <t xml:space="preserve">TCK-11116</t>
  </si>
  <si>
    <t xml:space="preserve">TCK-11117</t>
  </si>
  <si>
    <t xml:space="preserve">TCK-11118</t>
  </si>
  <si>
    <t xml:space="preserve">TCK-11119</t>
  </si>
  <si>
    <t xml:space="preserve">TCK-11120</t>
  </si>
  <si>
    <t xml:space="preserve">TCK-11121</t>
  </si>
  <si>
    <t xml:space="preserve">TCK-11122</t>
  </si>
  <si>
    <t xml:space="preserve">TCK-11123</t>
  </si>
  <si>
    <t xml:space="preserve">TCK-11124</t>
  </si>
  <si>
    <t xml:space="preserve">TCK-11125</t>
  </si>
  <si>
    <t xml:space="preserve">TCK-11126</t>
  </si>
  <si>
    <t xml:space="preserve">TCK-11127</t>
  </si>
  <si>
    <t xml:space="preserve">TCK-11128</t>
  </si>
  <si>
    <t xml:space="preserve">TCK-11129</t>
  </si>
  <si>
    <t xml:space="preserve">TCK-11130</t>
  </si>
  <si>
    <t xml:space="preserve">TCK-11131</t>
  </si>
  <si>
    <t xml:space="preserve">TCK-11132</t>
  </si>
  <si>
    <t xml:space="preserve">TCK-11133</t>
  </si>
  <si>
    <t xml:space="preserve">TCK-11134</t>
  </si>
  <si>
    <t xml:space="preserve">TCK-11135</t>
  </si>
  <si>
    <t xml:space="preserve">TCK-11136</t>
  </si>
  <si>
    <t xml:space="preserve">TCK-11137</t>
  </si>
  <si>
    <t xml:space="preserve">TCK-11138</t>
  </si>
  <si>
    <t xml:space="preserve">TCK-11139</t>
  </si>
  <si>
    <t xml:space="preserve">TCK-11140</t>
  </si>
  <si>
    <t xml:space="preserve">TCK-11141</t>
  </si>
  <si>
    <t xml:space="preserve">TCK-11142</t>
  </si>
  <si>
    <t xml:space="preserve">TCK-11143</t>
  </si>
  <si>
    <t xml:space="preserve">TCK-11144</t>
  </si>
  <si>
    <t xml:space="preserve">TCK-11145</t>
  </si>
  <si>
    <t xml:space="preserve">TCK-11146</t>
  </si>
  <si>
    <t xml:space="preserve">TCK-11147</t>
  </si>
  <si>
    <t xml:space="preserve">TCK-11148</t>
  </si>
  <si>
    <t xml:space="preserve">TCK-11149</t>
  </si>
  <si>
    <t xml:space="preserve">TCK-11150</t>
  </si>
  <si>
    <t xml:space="preserve">TCK-11151</t>
  </si>
  <si>
    <t xml:space="preserve">TCK-11152</t>
  </si>
  <si>
    <t xml:space="preserve">TCK-11153</t>
  </si>
  <si>
    <t xml:space="preserve">TCK-11154</t>
  </si>
  <si>
    <t xml:space="preserve">TCK-11155</t>
  </si>
  <si>
    <t xml:space="preserve">TCK-11156</t>
  </si>
  <si>
    <t xml:space="preserve">TCK-11157</t>
  </si>
  <si>
    <t xml:space="preserve">TCK-11158</t>
  </si>
  <si>
    <t xml:space="preserve">TCK-11159</t>
  </si>
  <si>
    <t xml:space="preserve">TCK-11160</t>
  </si>
  <si>
    <t xml:space="preserve">TCK-11161</t>
  </si>
  <si>
    <t xml:space="preserve">TCK-11162</t>
  </si>
  <si>
    <t xml:space="preserve">TCK-11163</t>
  </si>
  <si>
    <t xml:space="preserve">TCK-11164</t>
  </si>
  <si>
    <t xml:space="preserve">TCK-11165</t>
  </si>
  <si>
    <t xml:space="preserve">TCK-11166</t>
  </si>
  <si>
    <t xml:space="preserve">TCK-11167</t>
  </si>
  <si>
    <t xml:space="preserve">TCK-11168</t>
  </si>
  <si>
    <t xml:space="preserve">TCK-11169</t>
  </si>
  <si>
    <t xml:space="preserve">TCK-11170</t>
  </si>
  <si>
    <t xml:space="preserve">TCK-11171</t>
  </si>
  <si>
    <t xml:space="preserve">TCK-11172</t>
  </si>
  <si>
    <t xml:space="preserve">TCK-11173</t>
  </si>
  <si>
    <t xml:space="preserve">TCK-11174</t>
  </si>
  <si>
    <t xml:space="preserve">TCK-11175</t>
  </si>
  <si>
    <t xml:space="preserve">TCK-11176</t>
  </si>
  <si>
    <t xml:space="preserve">TCK-11177</t>
  </si>
  <si>
    <t xml:space="preserve">TCK-11178</t>
  </si>
  <si>
    <t xml:space="preserve">TCK-11179</t>
  </si>
  <si>
    <t xml:space="preserve">TCK-11180</t>
  </si>
  <si>
    <t xml:space="preserve">TCK-11181</t>
  </si>
  <si>
    <t xml:space="preserve">TCK-11182</t>
  </si>
  <si>
    <t xml:space="preserve">TCK-11183</t>
  </si>
  <si>
    <t xml:space="preserve">TCK-11184</t>
  </si>
  <si>
    <t xml:space="preserve">TCK-11185</t>
  </si>
  <si>
    <t xml:space="preserve">TCK-11186</t>
  </si>
  <si>
    <t xml:space="preserve">TCK-11187</t>
  </si>
  <si>
    <t xml:space="preserve">TCK-11188</t>
  </si>
  <si>
    <t xml:space="preserve">TCK-11189</t>
  </si>
  <si>
    <t xml:space="preserve">TCK-11190</t>
  </si>
  <si>
    <t xml:space="preserve">TCK-11191</t>
  </si>
  <si>
    <t xml:space="preserve">TCK-11192</t>
  </si>
  <si>
    <t xml:space="preserve">TCK-11193</t>
  </si>
  <si>
    <t xml:space="preserve">TCK-11194</t>
  </si>
  <si>
    <t xml:space="preserve">TCK-11195</t>
  </si>
  <si>
    <t xml:space="preserve">TCK-11196</t>
  </si>
  <si>
    <t xml:space="preserve">TCK-11197</t>
  </si>
  <si>
    <t xml:space="preserve">TCK-11198</t>
  </si>
  <si>
    <t xml:space="preserve">TCK-11199</t>
  </si>
  <si>
    <t xml:space="preserve">TCK-11200</t>
  </si>
  <si>
    <t xml:space="preserve">IT Support KPI Summary (Jan–Jun 2026)</t>
  </si>
  <si>
    <t xml:space="preserve">Headline KPIs</t>
  </si>
  <si>
    <t xml:space="preserve">Total tickets</t>
  </si>
  <si>
    <t xml:space="preserve">Open tickets</t>
  </si>
  <si>
    <t xml:space="preserve">Avg resolution time (hrs)</t>
  </si>
  <si>
    <t xml:space="preserve">Median resolution time (hrs)</t>
  </si>
  <si>
    <t xml:space="preserve">SLA compliance %</t>
  </si>
  <si>
    <t xml:space="preserve">Avg CSAT (1–5)</t>
  </si>
  <si>
    <t xml:space="preserve">Tickets</t>
  </si>
  <si>
    <t xml:space="preserve">% of Total</t>
  </si>
  <si>
    <t xml:space="preserve">Avg Resolution (hrs)</t>
  </si>
  <si>
    <t xml:space="preserve">SLA Met</t>
  </si>
  <si>
    <t xml:space="preserve">SLA Breached</t>
  </si>
  <si>
    <t xml:space="preserve">SLA Compliance %</t>
  </si>
  <si>
    <t xml:space="preserve">Avg CSAT</t>
  </si>
  <si>
    <t xml:space="preserve">Assigned Team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</si>
  <si>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</si>
  <si>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</si>
  <si>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</si>
  <si>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</si>
  <si>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</si>
  <si>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</si>
  <si>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SLA Target (hours)</t>
  </si>
  <si>
    <t xml:space="preserve">Blue/yellow cells are editable inputs; all KPIs recalculate.</t>
  </si>
  <si>
    <t xml:space="preserve">Targets are illustrative, typical of ITIL-style help-desk SLAs.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</si>
</sst>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\ hh:mm"/>
    <numFmt numFmtId="166" formatCode="0.00"/>
    <numFmt numFmtId="167" formatCode="#,##0"/>
    <numFmt numFmtId="168" formatCode="0.0"/>
    <numFmt numFmtId="169" formatCode="0.0%"/>
    <numFmt numFmtId="170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F7F7F"/>
        <bgColor rgb="FF878787"/>
      </patternFill>
    </fill>
    <fill>
      <patternFill patternType="solid">
        <fgColor rgb="FFDDEBF7"/>
        <bgColor rgb="FFD9D9D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F7F7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Resolution Time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'KPI Summary'!D11</c:f>
              <c:strCache>
                <c:ptCount val="1"/>
                <c:pt idx="0">
                  <c:v>Avg Resolution (hrs)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Summary'!$A$12:$A$16</c:f>
              <c:strCache>
                <c:ptCount val="5"/>
                <c:pt idx="0">
                  <c:v>Access &amp; Accounts</c:v>
                </c:pt>
                <c:pt idx="1">
                  <c:v>Email</c:v>
                </c:pt>
                <c:pt idx="2">
                  <c:v>Hardware</c:v>
                </c:pt>
                <c:pt idx="3">
                  <c:v>Network</c:v>
                </c:pt>
                <c:pt idx="4">
                  <c:v>Software</c:v>
                </c:pt>
              </c:strCache>
            </c:strRef>
          </c:cat>
          <c:val>
            <c:numRef>
              <c:f>'KPI Summary'!$D$12:$D$16</c:f>
              <c:numCache>
                <c:formatCode>0.0</c:formatCode>
                <c:ptCount val="5"/>
                <c:pt idx="0">
                  <c:v>13.5840501792115</c:v>
                </c:pt>
                <c:pt idx="1">
                  <c:v>19.3149593495935</c:v>
                </c:pt>
                <c:pt idx="2">
                  <c:v>43.440447761194</c:v>
                </c:pt>
                <c:pt idx="3">
                  <c:v>51.7450292397661</c:v>
                </c:pt>
                <c:pt idx="4">
                  <c:v>24.4590977443609</c:v>
                </c:pt>
              </c:numCache>
            </c:numRef>
          </c:val>
        </c:ser>
        <c:gapWidth val="150"/>
        <c:overlap val="0"/>
        <c:axId val="51686475"/>
        <c:axId val="29506947"/>
      </c:barChart>
      <c:catAx>
        <c:axId val="516864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506947"/>
        <c:crosses val="autoZero"/>
        <c:auto val="1"/>
        <c:lblAlgn val="ctr"/>
        <c:lblOffset val="100"/>
        <c:noMultiLvlLbl val="0"/>
      </c:catAx>
      <c:valAx>
        <c:axId val="295069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864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SLA Compliance by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'KPI Summary'!G26</c:f>
              <c:strCache>
                <c:ptCount val="1"/>
                <c:pt idx="0">
                  <c:v>SLA Compliance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Summary'!$A$27:$A$29</c:f>
              <c:strCache>
                <c:ptCount val="3"/>
                <c:pt idx="0">
                  <c:v>Tier 1 - Service Desk</c:v>
                </c:pt>
                <c:pt idx="1">
                  <c:v>Tier 2 - Applications</c:v>
                </c:pt>
                <c:pt idx="2">
                  <c:v>Tier 2 - Infrastructure</c:v>
                </c:pt>
              </c:strCache>
            </c:strRef>
          </c:cat>
          <c:val>
            <c:numRef>
              <c:f>'KPI Summary'!$G$27:$G$29</c:f>
              <c:numCache>
                <c:formatCode>0.0%</c:formatCode>
                <c:ptCount val="3"/>
                <c:pt idx="0">
                  <c:v>0.902985074626866</c:v>
                </c:pt>
                <c:pt idx="1">
                  <c:v>0.696741854636591</c:v>
                </c:pt>
                <c:pt idx="2">
                  <c:v>0.309139784946237</c:v>
                </c:pt>
              </c:numCache>
            </c:numRef>
          </c:val>
        </c:ser>
        <c:gapWidth val="150"/>
        <c:overlap val="0"/>
        <c:axId val="38320759"/>
        <c:axId val="12766236"/>
      </c:barChart>
      <c:catAx>
        <c:axId val="38320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66236"/>
        <c:crosses val="autoZero"/>
        <c:auto val="1"/>
        <c:lblAlgn val="ctr"/>
        <c:lblOffset val="100"/>
        <c:noMultiLvlLbl val="0"/>
      </c:catAx>
      <c:valAx>
        <c:axId val="127662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SLA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3207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 Volume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Summary'!B39</c:f>
              <c:strCache>
                <c:ptCount val="1"/>
                <c:pt idx="0">
                  <c:v>Tickets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Summary'!$A$40:$A$45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'KPI Summary'!$B$40:$B$45</c:f>
              <c:numCache>
                <c:formatCode>General</c:formatCode>
                <c:ptCount val="6"/>
                <c:pt idx="0">
                  <c:v>204</c:v>
                </c:pt>
                <c:pt idx="1">
                  <c:v>155</c:v>
                </c:pt>
                <c:pt idx="2">
                  <c:v>292</c:v>
                </c:pt>
                <c:pt idx="3">
                  <c:v>176</c:v>
                </c:pt>
                <c:pt idx="4">
                  <c:v>188</c:v>
                </c:pt>
                <c:pt idx="5">
                  <c:v>185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5961487"/>
        <c:axId val="96934986"/>
      </c:lineChart>
      <c:catAx>
        <c:axId val="9596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934986"/>
        <c:crosses val="autoZero"/>
        <c:auto val="1"/>
        <c:lblAlgn val="ctr"/>
        <c:lblOffset val="100"/>
        <c:noMultiLvlLbl val="0"/>
      </c:catAx>
      <c:valAx>
        <c:axId val="969349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Tickets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9614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SLA Compliance by Priority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'KPI Summary'!G19</c:f>
              <c:strCache>
                <c:ptCount val="1"/>
                <c:pt idx="0">
                  <c:v>SLA Compliance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Summary'!$A$20:$A$23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'KPI Summary'!$G$20:$G$23</c:f>
              <c:numCache>
                <c:formatCode>0.0%</c:formatCode>
                <c:ptCount val="4"/>
                <c:pt idx="0">
                  <c:v>0.597222222222222</c:v>
                </c:pt>
                <c:pt idx="1">
                  <c:v>0.561181434599156</c:v>
                </c:pt>
                <c:pt idx="2">
                  <c:v>0.630314232902033</c:v>
                </c:pt>
                <c:pt idx="3">
                  <c:v>0.739938080495356</c:v>
                </c:pt>
              </c:numCache>
            </c:numRef>
          </c:val>
        </c:ser>
        <c:gapWidth val="150"/>
        <c:overlap val="0"/>
        <c:axId val="11238679"/>
        <c:axId val="99138758"/>
      </c:barChart>
      <c:catAx>
        <c:axId val="11238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138758"/>
        <c:crosses val="autoZero"/>
        <c:auto val="1"/>
        <c:lblAlgn val="ctr"/>
        <c:lblOffset val="100"/>
        <c:noMultiLvlLbl val="0"/>
      </c:catAx>
      <c:valAx>
        <c:axId val="991387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SLA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386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160560</xdr:rowOff>
    </xdr:from>
    <xdr:to>
      <xdr:col>17</xdr:col>
      <xdr:colOff>507600</xdr:colOff>
      <xdr:row>14</xdr:row>
      <xdr:rowOff>174240</xdr:rowOff>
    </xdr:to>
    <xdr:graphicFrame>
      <xdr:nvGraphicFramePr>
        <xdr:cNvPr id="0" name="Chart 1"/>
        <xdr:cNvGraphicFramePr/>
      </xdr:nvGraphicFramePr>
      <xdr:xfrm>
        <a:off x="963360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160560</xdr:rowOff>
    </xdr:from>
    <xdr:to>
      <xdr:col>17</xdr:col>
      <xdr:colOff>507600</xdr:colOff>
      <xdr:row>29</xdr:row>
      <xdr:rowOff>155160</xdr:rowOff>
    </xdr:to>
    <xdr:graphicFrame>
      <xdr:nvGraphicFramePr>
        <xdr:cNvPr id="1" name="Chart 2"/>
        <xdr:cNvGraphicFramePr/>
      </xdr:nvGraphicFramePr>
      <xdr:xfrm>
        <a:off x="9633600" y="36385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33</xdr:row>
      <xdr:rowOff>160560</xdr:rowOff>
    </xdr:from>
    <xdr:to>
      <xdr:col>17</xdr:col>
      <xdr:colOff>507600</xdr:colOff>
      <xdr:row>46</xdr:row>
      <xdr:rowOff>174240</xdr:rowOff>
    </xdr:to>
    <xdr:graphicFrame>
      <xdr:nvGraphicFramePr>
        <xdr:cNvPr id="2" name="Chart 3"/>
        <xdr:cNvGraphicFramePr/>
      </xdr:nvGraphicFramePr>
      <xdr:xfrm>
        <a:off x="9633600" y="73152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49</xdr:row>
      <xdr:rowOff>160920</xdr:rowOff>
    </xdr:from>
    <xdr:to>
      <xdr:col>17</xdr:col>
      <xdr:colOff>507600</xdr:colOff>
      <xdr:row>64</xdr:row>
      <xdr:rowOff>2880</xdr:rowOff>
    </xdr:to>
    <xdr:graphicFrame>
      <xdr:nvGraphicFramePr>
        <xdr:cNvPr id="3" name="Chart 4"/>
        <xdr:cNvGraphicFramePr/>
      </xdr:nvGraphicFramePr>
      <xdr:xfrm>
        <a:off x="9633600" y="105728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4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7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9"/>
    <col collapsed="false" customWidth="true" hidden="false" outlineLevel="0" max="7" min="7" style="0" width="24"/>
    <col collapsed="false" customWidth="true" hidden="false" outlineLevel="0" max="8" min="8" style="0" width="7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2" min="11" style="0" width="17"/>
    <col collapsed="false" customWidth="true" hidden="false" outlineLevel="0" max="13" min="13" style="0" width="9"/>
  </cols>
  <sheetData>
    <row r="1" customFormat="false" ht="15" hidden="false" customHeight="false" outlineLevel="0" collapsed="false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20</v>
      </c>
    </row>
    <row r="2" customFormat="false" ht="15" hidden="false" customHeight="false" outlineLevel="0" collapsed="false">
      <c r="A2" s="2" t="s">
        <v>21</v>
      </c>
      <c r="B2" s="7" t="n">
        <v>46023.3555555556</v>
      </c>
      <c r="C2" s="7" t="n">
        <v>46024.2708333333</v>
      </c>
      <c r="D2" s="2" t="s">
        <v>22</v>
      </c>
      <c r="E2" s="2" t="s">
        <v>23</v>
      </c>
      <c r="F2" s="2" t="s">
        <v>24</v>
      </c>
      <c r="G2" s="2" t="s">
        <v>25</v>
      </c>
      <c r="H2" s="2" t="n">
        <v>3</v>
      </c>
      <c r="I2" s="2" t="str">
        <f aca="false">IF(C2="","Open","Resolved")</f>
        <v>Resolved</v>
      </c>
      <c r="J2" s="2" t="str">
        <f aca="false">TEXT(B2,"yyyy-mm")</f>
        <v>2026-01</v>
      </c>
      <c r="K2" s="8" t="n">
        <f aca="false">IF(C2="","",ROUND((C2-B2)*24,2))</f>
        <v>21.97</v>
      </c>
      <c r="L2" s="2" t="n">
        <f aca="false">INDEX('SLA Policy'!$B$2:$B$5,MATCH(E2,'SLA Policy'!$A$2:$A$5,0))</f>
        <v>8</v>
      </c>
      <c r="M2" s="2" t="str">
        <f aca="false">IF(K2="","Open",IF(K2&lt;=L2,"Yes","No"))</f>
        <v>No</v>
      </c>
    </row>
    <row r="3" customFormat="false" ht="15" hidden="false" customHeight="false" outlineLevel="0" collapsed="false">
      <c r="A3" s="2" t="s">
        <v>26</v>
      </c>
      <c r="B3" s="7" t="n">
        <v>46023.4638888889</v>
      </c>
      <c r="C3" s="7" t="n">
        <v>46023.7284722222</v>
      </c>
      <c r="D3" s="2" t="s">
        <v>27</v>
      </c>
      <c r="E3" s="2" t="s">
        <v>23</v>
      </c>
      <c r="F3" s="2" t="s">
        <v>28</v>
      </c>
      <c r="G3" s="2" t="s">
        <v>29</v>
      </c>
      <c r="H3" s="2" t="n">
        <v>5</v>
      </c>
      <c r="I3" s="2" t="str">
        <f aca="false">IF(C3="","Open","Resolved")</f>
        <v>Resolved</v>
      </c>
      <c r="J3" s="2" t="str">
        <f aca="false">TEXT(B3,"yyyy-mm")</f>
        <v>2026-01</v>
      </c>
      <c r="K3" s="8" t="n">
        <f aca="false">IF(C3="","",ROUND((C3-B3)*24,2))</f>
        <v>6.35</v>
      </c>
      <c r="L3" s="2" t="n">
        <f aca="false">INDEX('SLA Policy'!$B$2:$B$5,MATCH(E3,'SLA Policy'!$A$2:$A$5,0))</f>
        <v>8</v>
      </c>
      <c r="M3" s="2" t="str">
        <f aca="false">IF(K3="","Open",IF(K3&lt;=L3,"Yes","No"))</f>
        <v>Yes</v>
      </c>
    </row>
    <row r="4" customFormat="false" ht="15" hidden="false" customHeight="false" outlineLevel="0" collapsed="false">
      <c r="A4" s="2" t="s">
        <v>30</v>
      </c>
      <c r="B4" s="7" t="n">
        <v>46023.5020833333</v>
      </c>
      <c r="C4" s="7" t="n">
        <v>46025.8881944444</v>
      </c>
      <c r="D4" s="2" t="s">
        <v>31</v>
      </c>
      <c r="E4" s="2" t="s">
        <v>32</v>
      </c>
      <c r="F4" s="2" t="s">
        <v>24</v>
      </c>
      <c r="G4" s="2" t="s">
        <v>33</v>
      </c>
      <c r="H4" s="2" t="n">
        <v>3</v>
      </c>
      <c r="I4" s="2" t="str">
        <f aca="false">IF(C4="","Open","Resolved")</f>
        <v>Resolved</v>
      </c>
      <c r="J4" s="2" t="str">
        <f aca="false">TEXT(B4,"yyyy-mm")</f>
        <v>2026-01</v>
      </c>
      <c r="K4" s="8" t="n">
        <f aca="false">IF(C4="","",ROUND((C4-B4)*24,2))</f>
        <v>57.27</v>
      </c>
      <c r="L4" s="2" t="n">
        <f aca="false">INDEX('SLA Policy'!$B$2:$B$5,MATCH(E4,'SLA Policy'!$A$2:$A$5,0))</f>
        <v>72</v>
      </c>
      <c r="M4" s="2" t="str">
        <f aca="false">IF(K4="","Open",IF(K4&lt;=L4,"Yes","No"))</f>
        <v>Yes</v>
      </c>
    </row>
    <row r="5" customFormat="false" ht="15" hidden="false" customHeight="false" outlineLevel="0" collapsed="false">
      <c r="A5" s="2" t="s">
        <v>34</v>
      </c>
      <c r="B5" s="7" t="n">
        <v>46023.5520833333</v>
      </c>
      <c r="C5" s="7" t="n">
        <v>46025.30625</v>
      </c>
      <c r="D5" s="2" t="s">
        <v>22</v>
      </c>
      <c r="E5" s="2" t="s">
        <v>35</v>
      </c>
      <c r="F5" s="2" t="s">
        <v>27</v>
      </c>
      <c r="G5" s="2" t="s">
        <v>25</v>
      </c>
      <c r="H5" s="2" t="n">
        <v>4</v>
      </c>
      <c r="I5" s="2" t="str">
        <f aca="false">IF(C5="","Open","Resolved")</f>
        <v>Resolved</v>
      </c>
      <c r="J5" s="2" t="str">
        <f aca="false">TEXT(B5,"yyyy-mm")</f>
        <v>2026-01</v>
      </c>
      <c r="K5" s="8" t="n">
        <f aca="false">IF(C5="","",ROUND((C5-B5)*24,2))</f>
        <v>42.1</v>
      </c>
      <c r="L5" s="2" t="n">
        <f aca="false">INDEX('SLA Policy'!$B$2:$B$5,MATCH(E5,'SLA Policy'!$A$2:$A$5,0))</f>
        <v>24</v>
      </c>
      <c r="M5" s="2" t="str">
        <f aca="false">IF(K5="","Open",IF(K5&lt;=L5,"Yes","No"))</f>
        <v>No</v>
      </c>
    </row>
    <row r="6" customFormat="false" ht="15" hidden="false" customHeight="false" outlineLevel="0" collapsed="false">
      <c r="A6" s="2" t="s">
        <v>36</v>
      </c>
      <c r="B6" s="7" t="n">
        <v>46023.6361111111</v>
      </c>
      <c r="C6" s="7" t="n">
        <v>46029.5930555556</v>
      </c>
      <c r="D6" s="2" t="s">
        <v>31</v>
      </c>
      <c r="E6" s="2" t="s">
        <v>32</v>
      </c>
      <c r="F6" s="2" t="s">
        <v>27</v>
      </c>
      <c r="G6" s="2" t="s">
        <v>33</v>
      </c>
      <c r="H6" s="2" t="n">
        <v>1</v>
      </c>
      <c r="I6" s="2" t="str">
        <f aca="false">IF(C6="","Open","Resolved")</f>
        <v>Resolved</v>
      </c>
      <c r="J6" s="2" t="str">
        <f aca="false">TEXT(B6,"yyyy-mm")</f>
        <v>2026-01</v>
      </c>
      <c r="K6" s="8" t="n">
        <f aca="false">IF(C6="","",ROUND((C6-B6)*24,2))</f>
        <v>142.97</v>
      </c>
      <c r="L6" s="2" t="n">
        <f aca="false">INDEX('SLA Policy'!$B$2:$B$5,MATCH(E6,'SLA Policy'!$A$2:$A$5,0))</f>
        <v>72</v>
      </c>
      <c r="M6" s="2" t="str">
        <f aca="false">IF(K6="","Open",IF(K6&lt;=L6,"Yes","No"))</f>
        <v>No</v>
      </c>
    </row>
    <row r="7" customFormat="false" ht="15" hidden="false" customHeight="false" outlineLevel="0" collapsed="false">
      <c r="A7" s="2" t="s">
        <v>37</v>
      </c>
      <c r="B7" s="7" t="n">
        <v>46023.75</v>
      </c>
      <c r="C7" s="7" t="n">
        <v>46030.30625</v>
      </c>
      <c r="D7" s="2" t="s">
        <v>22</v>
      </c>
      <c r="E7" s="2" t="s">
        <v>32</v>
      </c>
      <c r="F7" s="2" t="s">
        <v>38</v>
      </c>
      <c r="G7" s="2" t="s">
        <v>25</v>
      </c>
      <c r="H7" s="2" t="n">
        <v>1</v>
      </c>
      <c r="I7" s="2" t="str">
        <f aca="false">IF(C7="","Open","Resolved")</f>
        <v>Resolved</v>
      </c>
      <c r="J7" s="2" t="str">
        <f aca="false">TEXT(B7,"yyyy-mm")</f>
        <v>2026-01</v>
      </c>
      <c r="K7" s="8" t="n">
        <f aca="false">IF(C7="","",ROUND((C7-B7)*24,2))</f>
        <v>157.35</v>
      </c>
      <c r="L7" s="2" t="n">
        <f aca="false">INDEX('SLA Policy'!$B$2:$B$5,MATCH(E7,'SLA Policy'!$A$2:$A$5,0))</f>
        <v>72</v>
      </c>
      <c r="M7" s="2" t="str">
        <f aca="false">IF(K7="","Open",IF(K7&lt;=L7,"Yes","No"))</f>
        <v>No</v>
      </c>
    </row>
    <row r="8" customFormat="false" ht="15" hidden="false" customHeight="false" outlineLevel="0" collapsed="false">
      <c r="A8" s="2" t="s">
        <v>39</v>
      </c>
      <c r="B8" s="7" t="n">
        <v>46023.7548611111</v>
      </c>
      <c r="C8" s="7" t="n">
        <v>46023.9409722222</v>
      </c>
      <c r="D8" s="2" t="s">
        <v>31</v>
      </c>
      <c r="E8" s="2" t="s">
        <v>40</v>
      </c>
      <c r="F8" s="2" t="s">
        <v>27</v>
      </c>
      <c r="G8" s="2" t="s">
        <v>33</v>
      </c>
      <c r="H8" s="2" t="n">
        <v>5</v>
      </c>
      <c r="I8" s="2" t="str">
        <f aca="false">IF(C8="","Open","Resolved")</f>
        <v>Resolved</v>
      </c>
      <c r="J8" s="2" t="str">
        <f aca="false">TEXT(B8,"yyyy-mm")</f>
        <v>2026-01</v>
      </c>
      <c r="K8" s="8" t="n">
        <f aca="false">IF(C8="","",ROUND((C8-B8)*24,2))</f>
        <v>4.47</v>
      </c>
      <c r="L8" s="2" t="n">
        <f aca="false">INDEX('SLA Policy'!$B$2:$B$5,MATCH(E8,'SLA Policy'!$A$2:$A$5,0))</f>
        <v>4</v>
      </c>
      <c r="M8" s="2" t="str">
        <f aca="false">IF(K8="","Open",IF(K8&lt;=L8,"Yes","No"))</f>
        <v>No</v>
      </c>
    </row>
    <row r="9" customFormat="false" ht="15" hidden="false" customHeight="false" outlineLevel="0" collapsed="false">
      <c r="A9" s="2" t="s">
        <v>41</v>
      </c>
      <c r="B9" s="7" t="n">
        <v>46023.7625</v>
      </c>
      <c r="C9" s="7" t="n">
        <v>46024.0138888889</v>
      </c>
      <c r="D9" s="2" t="s">
        <v>42</v>
      </c>
      <c r="E9" s="2" t="s">
        <v>35</v>
      </c>
      <c r="F9" s="2" t="s">
        <v>38</v>
      </c>
      <c r="G9" s="2" t="s">
        <v>29</v>
      </c>
      <c r="H9" s="2" t="n">
        <v>4</v>
      </c>
      <c r="I9" s="2" t="str">
        <f aca="false">IF(C9="","Open","Resolved")</f>
        <v>Resolved</v>
      </c>
      <c r="J9" s="2" t="str">
        <f aca="false">TEXT(B9,"yyyy-mm")</f>
        <v>2026-01</v>
      </c>
      <c r="K9" s="8" t="n">
        <f aca="false">IF(C9="","",ROUND((C9-B9)*24,2))</f>
        <v>6.03</v>
      </c>
      <c r="L9" s="2" t="n">
        <f aca="false">INDEX('SLA Policy'!$B$2:$B$5,MATCH(E9,'SLA Policy'!$A$2:$A$5,0))</f>
        <v>24</v>
      </c>
      <c r="M9" s="2" t="str">
        <f aca="false">IF(K9="","Open",IF(K9&lt;=L9,"Yes","No"))</f>
        <v>Yes</v>
      </c>
    </row>
    <row r="10" customFormat="false" ht="15" hidden="false" customHeight="false" outlineLevel="0" collapsed="false">
      <c r="A10" s="2" t="s">
        <v>43</v>
      </c>
      <c r="B10" s="7" t="n">
        <v>46024.3125</v>
      </c>
      <c r="C10" s="7" t="n">
        <v>46024.91875</v>
      </c>
      <c r="D10" s="2" t="s">
        <v>42</v>
      </c>
      <c r="E10" s="2" t="s">
        <v>32</v>
      </c>
      <c r="F10" s="2" t="s">
        <v>24</v>
      </c>
      <c r="G10" s="2" t="s">
        <v>29</v>
      </c>
      <c r="H10" s="2" t="n">
        <v>4</v>
      </c>
      <c r="I10" s="2" t="str">
        <f aca="false">IF(C10="","Open","Resolved")</f>
        <v>Resolved</v>
      </c>
      <c r="J10" s="2" t="str">
        <f aca="false">TEXT(B10,"yyyy-mm")</f>
        <v>2026-01</v>
      </c>
      <c r="K10" s="8" t="n">
        <f aca="false">IF(C10="","",ROUND((C10-B10)*24,2))</f>
        <v>14.55</v>
      </c>
      <c r="L10" s="2" t="n">
        <f aca="false">INDEX('SLA Policy'!$B$2:$B$5,MATCH(E10,'SLA Policy'!$A$2:$A$5,0))</f>
        <v>72</v>
      </c>
      <c r="M10" s="2" t="str">
        <f aca="false">IF(K10="","Open",IF(K10&lt;=L10,"Yes","No"))</f>
        <v>Yes</v>
      </c>
    </row>
    <row r="11" customFormat="false" ht="15" hidden="false" customHeight="false" outlineLevel="0" collapsed="false">
      <c r="A11" s="2" t="s">
        <v>44</v>
      </c>
      <c r="B11" s="7" t="n">
        <v>46024.3284722222</v>
      </c>
      <c r="C11" s="7" t="n">
        <v>46025.5118055556</v>
      </c>
      <c r="D11" s="2" t="s">
        <v>31</v>
      </c>
      <c r="E11" s="2" t="s">
        <v>32</v>
      </c>
      <c r="F11" s="2" t="s">
        <v>27</v>
      </c>
      <c r="G11" s="2" t="s">
        <v>33</v>
      </c>
      <c r="H11" s="2" t="n">
        <v>4</v>
      </c>
      <c r="I11" s="2" t="str">
        <f aca="false">IF(C11="","Open","Resolved")</f>
        <v>Resolved</v>
      </c>
      <c r="J11" s="2" t="str">
        <f aca="false">TEXT(B11,"yyyy-mm")</f>
        <v>2026-01</v>
      </c>
      <c r="K11" s="8" t="n">
        <f aca="false">IF(C11="","",ROUND((C11-B11)*24,2))</f>
        <v>28.4</v>
      </c>
      <c r="L11" s="2" t="n">
        <f aca="false">INDEX('SLA Policy'!$B$2:$B$5,MATCH(E11,'SLA Policy'!$A$2:$A$5,0))</f>
        <v>72</v>
      </c>
      <c r="M11" s="2" t="str">
        <f aca="false">IF(K11="","Open",IF(K11&lt;=L11,"Yes","No"))</f>
        <v>Yes</v>
      </c>
    </row>
    <row r="12" customFormat="false" ht="15" hidden="false" customHeight="false" outlineLevel="0" collapsed="false">
      <c r="A12" s="2" t="s">
        <v>45</v>
      </c>
      <c r="B12" s="7" t="n">
        <v>46024.3881944444</v>
      </c>
      <c r="C12" s="7" t="n">
        <v>46024.8798611111</v>
      </c>
      <c r="D12" s="2" t="s">
        <v>27</v>
      </c>
      <c r="E12" s="2" t="s">
        <v>35</v>
      </c>
      <c r="F12" s="2" t="s">
        <v>24</v>
      </c>
      <c r="G12" s="2" t="s">
        <v>29</v>
      </c>
      <c r="H12" s="2" t="n">
        <v>5</v>
      </c>
      <c r="I12" s="2" t="str">
        <f aca="false">IF(C12="","Open","Resolved")</f>
        <v>Resolved</v>
      </c>
      <c r="J12" s="2" t="str">
        <f aca="false">TEXT(B12,"yyyy-mm")</f>
        <v>2026-01</v>
      </c>
      <c r="K12" s="8" t="n">
        <f aca="false">IF(C12="","",ROUND((C12-B12)*24,2))</f>
        <v>11.8</v>
      </c>
      <c r="L12" s="2" t="n">
        <f aca="false">INDEX('SLA Policy'!$B$2:$B$5,MATCH(E12,'SLA Policy'!$A$2:$A$5,0))</f>
        <v>24</v>
      </c>
      <c r="M12" s="2" t="str">
        <f aca="false">IF(K12="","Open",IF(K12&lt;=L12,"Yes","No"))</f>
        <v>Yes</v>
      </c>
    </row>
    <row r="13" customFormat="false" ht="15" hidden="false" customHeight="false" outlineLevel="0" collapsed="false">
      <c r="A13" s="2" t="s">
        <v>46</v>
      </c>
      <c r="B13" s="7" t="n">
        <v>46024.4930555556</v>
      </c>
      <c r="C13" s="7" t="n">
        <v>46024.6263888889</v>
      </c>
      <c r="D13" s="2" t="s">
        <v>42</v>
      </c>
      <c r="E13" s="2" t="s">
        <v>23</v>
      </c>
      <c r="F13" s="2" t="s">
        <v>24</v>
      </c>
      <c r="G13" s="2" t="s">
        <v>29</v>
      </c>
      <c r="H13" s="2" t="n">
        <v>5</v>
      </c>
      <c r="I13" s="2" t="str">
        <f aca="false">IF(C13="","Open","Resolved")</f>
        <v>Resolved</v>
      </c>
      <c r="J13" s="2" t="str">
        <f aca="false">TEXT(B13,"yyyy-mm")</f>
        <v>2026-01</v>
      </c>
      <c r="K13" s="8" t="n">
        <f aca="false">IF(C13="","",ROUND((C13-B13)*24,2))</f>
        <v>3.2</v>
      </c>
      <c r="L13" s="2" t="n">
        <f aca="false">INDEX('SLA Policy'!$B$2:$B$5,MATCH(E13,'SLA Policy'!$A$2:$A$5,0))</f>
        <v>8</v>
      </c>
      <c r="M13" s="2" t="str">
        <f aca="false">IF(K13="","Open",IF(K13&lt;=L13,"Yes","No"))</f>
        <v>Yes</v>
      </c>
    </row>
    <row r="14" customFormat="false" ht="15" hidden="false" customHeight="false" outlineLevel="0" collapsed="false">
      <c r="A14" s="2" t="s">
        <v>47</v>
      </c>
      <c r="B14" s="7" t="n">
        <v>46024.6895833333</v>
      </c>
      <c r="C14" s="7" t="n">
        <v>46027.00625</v>
      </c>
      <c r="D14" s="2" t="s">
        <v>48</v>
      </c>
      <c r="E14" s="2" t="s">
        <v>35</v>
      </c>
      <c r="F14" s="2" t="s">
        <v>28</v>
      </c>
      <c r="G14" s="2" t="s">
        <v>25</v>
      </c>
      <c r="H14" s="2" t="n">
        <v>3</v>
      </c>
      <c r="I14" s="2" t="str">
        <f aca="false">IF(C14="","Open","Resolved")</f>
        <v>Resolved</v>
      </c>
      <c r="J14" s="2" t="str">
        <f aca="false">TEXT(B14,"yyyy-mm")</f>
        <v>2026-01</v>
      </c>
      <c r="K14" s="8" t="n">
        <f aca="false">IF(C14="","",ROUND((C14-B14)*24,2))</f>
        <v>55.6</v>
      </c>
      <c r="L14" s="2" t="n">
        <f aca="false">INDEX('SLA Policy'!$B$2:$B$5,MATCH(E14,'SLA Policy'!$A$2:$A$5,0))</f>
        <v>24</v>
      </c>
      <c r="M14" s="2" t="str">
        <f aca="false">IF(K14="","Open",IF(K14&lt;=L14,"Yes","No"))</f>
        <v>No</v>
      </c>
    </row>
    <row r="15" customFormat="false" ht="15" hidden="false" customHeight="false" outlineLevel="0" collapsed="false">
      <c r="A15" s="2" t="s">
        <v>49</v>
      </c>
      <c r="B15" s="7" t="n">
        <v>46024.7076388889</v>
      </c>
      <c r="C15" s="7" t="n">
        <v>46025.6645833333</v>
      </c>
      <c r="D15" s="2" t="s">
        <v>42</v>
      </c>
      <c r="E15" s="2" t="s">
        <v>35</v>
      </c>
      <c r="F15" s="2" t="s">
        <v>38</v>
      </c>
      <c r="G15" s="2" t="s">
        <v>29</v>
      </c>
      <c r="H15" s="2" t="n">
        <v>4</v>
      </c>
      <c r="I15" s="2" t="str">
        <f aca="false">IF(C15="","Open","Resolved")</f>
        <v>Resolved</v>
      </c>
      <c r="J15" s="2" t="str">
        <f aca="false">TEXT(B15,"yyyy-mm")</f>
        <v>2026-01</v>
      </c>
      <c r="K15" s="8" t="n">
        <f aca="false">IF(C15="","",ROUND((C15-B15)*24,2))</f>
        <v>22.97</v>
      </c>
      <c r="L15" s="2" t="n">
        <f aca="false">INDEX('SLA Policy'!$B$2:$B$5,MATCH(E15,'SLA Policy'!$A$2:$A$5,0))</f>
        <v>24</v>
      </c>
      <c r="M15" s="2" t="str">
        <f aca="false">IF(K15="","Open",IF(K15&lt;=L15,"Yes","No"))</f>
        <v>Yes</v>
      </c>
    </row>
    <row r="16" customFormat="false" ht="15" hidden="false" customHeight="false" outlineLevel="0" collapsed="false">
      <c r="A16" s="2" t="s">
        <v>50</v>
      </c>
      <c r="B16" s="7" t="n">
        <v>46024.7111111111</v>
      </c>
      <c r="C16" s="7" t="n">
        <v>46026.4659722222</v>
      </c>
      <c r="D16" s="2" t="s">
        <v>42</v>
      </c>
      <c r="E16" s="2" t="s">
        <v>32</v>
      </c>
      <c r="F16" s="2" t="s">
        <v>38</v>
      </c>
      <c r="G16" s="2" t="s">
        <v>29</v>
      </c>
      <c r="H16" s="2" t="n">
        <v>4</v>
      </c>
      <c r="I16" s="2" t="str">
        <f aca="false">IF(C16="","Open","Resolved")</f>
        <v>Resolved</v>
      </c>
      <c r="J16" s="2" t="str">
        <f aca="false">TEXT(B16,"yyyy-mm")</f>
        <v>2026-01</v>
      </c>
      <c r="K16" s="8" t="n">
        <f aca="false">IF(C16="","",ROUND((C16-B16)*24,2))</f>
        <v>42.12</v>
      </c>
      <c r="L16" s="2" t="n">
        <f aca="false">INDEX('SLA Policy'!$B$2:$B$5,MATCH(E16,'SLA Policy'!$A$2:$A$5,0))</f>
        <v>72</v>
      </c>
      <c r="M16" s="2" t="str">
        <f aca="false">IF(K16="","Open",IF(K16&lt;=L16,"Yes","No"))</f>
        <v>Yes</v>
      </c>
    </row>
    <row r="17" customFormat="false" ht="15" hidden="false" customHeight="false" outlineLevel="0" collapsed="false">
      <c r="A17" s="2" t="s">
        <v>51</v>
      </c>
      <c r="B17" s="7" t="n">
        <v>46025.6673611111</v>
      </c>
      <c r="C17" s="7" t="n">
        <v>46025.9569444444</v>
      </c>
      <c r="D17" s="2" t="s">
        <v>22</v>
      </c>
      <c r="E17" s="2" t="s">
        <v>40</v>
      </c>
      <c r="F17" s="2" t="s">
        <v>27</v>
      </c>
      <c r="G17" s="2" t="s">
        <v>25</v>
      </c>
      <c r="H17" s="2" t="n">
        <v>4</v>
      </c>
      <c r="I17" s="2" t="str">
        <f aca="false">IF(C17="","Open","Resolved")</f>
        <v>Resolved</v>
      </c>
      <c r="J17" s="2" t="str">
        <f aca="false">TEXT(B17,"yyyy-mm")</f>
        <v>2026-01</v>
      </c>
      <c r="K17" s="8" t="n">
        <f aca="false">IF(C17="","",ROUND((C17-B17)*24,2))</f>
        <v>6.95</v>
      </c>
      <c r="L17" s="2" t="n">
        <f aca="false">INDEX('SLA Policy'!$B$2:$B$5,MATCH(E17,'SLA Policy'!$A$2:$A$5,0))</f>
        <v>4</v>
      </c>
      <c r="M17" s="2" t="str">
        <f aca="false">IF(K17="","Open",IF(K17&lt;=L17,"Yes","No"))</f>
        <v>No</v>
      </c>
    </row>
    <row r="18" customFormat="false" ht="15" hidden="false" customHeight="false" outlineLevel="0" collapsed="false">
      <c r="A18" s="2" t="s">
        <v>52</v>
      </c>
      <c r="B18" s="7" t="n">
        <v>46026.7166666667</v>
      </c>
      <c r="C18" s="7" t="n">
        <v>46027.7569444445</v>
      </c>
      <c r="D18" s="2" t="s">
        <v>22</v>
      </c>
      <c r="E18" s="2" t="s">
        <v>35</v>
      </c>
      <c r="F18" s="2" t="s">
        <v>27</v>
      </c>
      <c r="G18" s="2" t="s">
        <v>25</v>
      </c>
      <c r="H18" s="2" t="n">
        <v>5</v>
      </c>
      <c r="I18" s="2" t="str">
        <f aca="false">IF(C18="","Open","Resolved")</f>
        <v>Resolved</v>
      </c>
      <c r="J18" s="2" t="str">
        <f aca="false">TEXT(B18,"yyyy-mm")</f>
        <v>2026-01</v>
      </c>
      <c r="K18" s="8" t="n">
        <f aca="false">IF(C18="","",ROUND((C18-B18)*24,2))</f>
        <v>24.97</v>
      </c>
      <c r="L18" s="2" t="n">
        <f aca="false">INDEX('SLA Policy'!$B$2:$B$5,MATCH(E18,'SLA Policy'!$A$2:$A$5,0))</f>
        <v>24</v>
      </c>
      <c r="M18" s="2" t="str">
        <f aca="false">IF(K18="","Open",IF(K18&lt;=L18,"Yes","No"))</f>
        <v>No</v>
      </c>
    </row>
    <row r="19" customFormat="false" ht="15" hidden="false" customHeight="false" outlineLevel="0" collapsed="false">
      <c r="A19" s="2" t="s">
        <v>53</v>
      </c>
      <c r="B19" s="7" t="n">
        <v>46027.3708333333</v>
      </c>
      <c r="C19" s="7" t="n">
        <v>46028.0541666667</v>
      </c>
      <c r="D19" s="2" t="s">
        <v>31</v>
      </c>
      <c r="E19" s="2" t="s">
        <v>35</v>
      </c>
      <c r="F19" s="2" t="s">
        <v>24</v>
      </c>
      <c r="G19" s="2" t="s">
        <v>33</v>
      </c>
      <c r="H19" s="2" t="n">
        <v>5</v>
      </c>
      <c r="I19" s="2" t="str">
        <f aca="false">IF(C19="","Open","Resolved")</f>
        <v>Resolved</v>
      </c>
      <c r="J19" s="2" t="str">
        <f aca="false">TEXT(B19,"yyyy-mm")</f>
        <v>2026-01</v>
      </c>
      <c r="K19" s="8" t="n">
        <f aca="false">IF(C19="","",ROUND((C19-B19)*24,2))</f>
        <v>16.4</v>
      </c>
      <c r="L19" s="2" t="n">
        <f aca="false">INDEX('SLA Policy'!$B$2:$B$5,MATCH(E19,'SLA Policy'!$A$2:$A$5,0))</f>
        <v>24</v>
      </c>
      <c r="M19" s="2" t="str">
        <f aca="false">IF(K19="","Open",IF(K19&lt;=L19,"Yes","No"))</f>
        <v>Yes</v>
      </c>
    </row>
    <row r="20" customFormat="false" ht="15" hidden="false" customHeight="false" outlineLevel="0" collapsed="false">
      <c r="A20" s="2" t="s">
        <v>54</v>
      </c>
      <c r="B20" s="7" t="n">
        <v>46027.3729166667</v>
      </c>
      <c r="C20" s="7" t="n">
        <v>46029.1298611111</v>
      </c>
      <c r="D20" s="2" t="s">
        <v>42</v>
      </c>
      <c r="E20" s="2" t="s">
        <v>32</v>
      </c>
      <c r="F20" s="2" t="s">
        <v>24</v>
      </c>
      <c r="G20" s="2" t="s">
        <v>29</v>
      </c>
      <c r="H20" s="2" t="n">
        <v>4</v>
      </c>
      <c r="I20" s="2" t="str">
        <f aca="false">IF(C20="","Open","Resolved")</f>
        <v>Resolved</v>
      </c>
      <c r="J20" s="2" t="str">
        <f aca="false">TEXT(B20,"yyyy-mm")</f>
        <v>2026-01</v>
      </c>
      <c r="K20" s="8" t="n">
        <f aca="false">IF(C20="","",ROUND((C20-B20)*24,2))</f>
        <v>42.17</v>
      </c>
      <c r="L20" s="2" t="n">
        <f aca="false">INDEX('SLA Policy'!$B$2:$B$5,MATCH(E20,'SLA Policy'!$A$2:$A$5,0))</f>
        <v>72</v>
      </c>
      <c r="M20" s="2" t="str">
        <f aca="false">IF(K20="","Open",IF(K20&lt;=L20,"Yes","No"))</f>
        <v>Yes</v>
      </c>
    </row>
    <row r="21" customFormat="false" ht="15" hidden="false" customHeight="false" outlineLevel="0" collapsed="false">
      <c r="A21" s="2" t="s">
        <v>55</v>
      </c>
      <c r="B21" s="7" t="n">
        <v>46027.3868055556</v>
      </c>
      <c r="C21" s="7" t="n">
        <v>46034.3958333333</v>
      </c>
      <c r="D21" s="2" t="s">
        <v>48</v>
      </c>
      <c r="E21" s="2" t="s">
        <v>32</v>
      </c>
      <c r="F21" s="2" t="s">
        <v>24</v>
      </c>
      <c r="G21" s="2" t="s">
        <v>25</v>
      </c>
      <c r="H21" s="2" t="n">
        <v>1</v>
      </c>
      <c r="I21" s="2" t="str">
        <f aca="false">IF(C21="","Open","Resolved")</f>
        <v>Resolved</v>
      </c>
      <c r="J21" s="2" t="str">
        <f aca="false">TEXT(B21,"yyyy-mm")</f>
        <v>2026-01</v>
      </c>
      <c r="K21" s="8" t="n">
        <f aca="false">IF(C21="","",ROUND((C21-B21)*24,2))</f>
        <v>168.22</v>
      </c>
      <c r="L21" s="2" t="n">
        <f aca="false">INDEX('SLA Policy'!$B$2:$B$5,MATCH(E21,'SLA Policy'!$A$2:$A$5,0))</f>
        <v>72</v>
      </c>
      <c r="M21" s="2" t="str">
        <f aca="false">IF(K21="","Open",IF(K21&lt;=L21,"Yes","No"))</f>
        <v>No</v>
      </c>
    </row>
    <row r="22" customFormat="false" ht="15" hidden="false" customHeight="false" outlineLevel="0" collapsed="false">
      <c r="A22" s="2" t="s">
        <v>56</v>
      </c>
      <c r="B22" s="7" t="n">
        <v>46027.4236111111</v>
      </c>
      <c r="C22" s="7" t="n">
        <v>46027.7527777778</v>
      </c>
      <c r="D22" s="2" t="s">
        <v>42</v>
      </c>
      <c r="E22" s="2" t="s">
        <v>35</v>
      </c>
      <c r="F22" s="2" t="s">
        <v>24</v>
      </c>
      <c r="G22" s="2" t="s">
        <v>29</v>
      </c>
      <c r="H22" s="2" t="n">
        <v>3</v>
      </c>
      <c r="I22" s="2" t="str">
        <f aca="false">IF(C22="","Open","Resolved")</f>
        <v>Resolved</v>
      </c>
      <c r="J22" s="2" t="str">
        <f aca="false">TEXT(B22,"yyyy-mm")</f>
        <v>2026-01</v>
      </c>
      <c r="K22" s="8" t="n">
        <f aca="false">IF(C22="","",ROUND((C22-B22)*24,2))</f>
        <v>7.9</v>
      </c>
      <c r="L22" s="2" t="n">
        <f aca="false">INDEX('SLA Policy'!$B$2:$B$5,MATCH(E22,'SLA Policy'!$A$2:$A$5,0))</f>
        <v>24</v>
      </c>
      <c r="M22" s="2" t="str">
        <f aca="false">IF(K22="","Open",IF(K22&lt;=L22,"Yes","No"))</f>
        <v>Yes</v>
      </c>
    </row>
    <row r="23" customFormat="false" ht="15" hidden="false" customHeight="false" outlineLevel="0" collapsed="false">
      <c r="A23" s="2" t="s">
        <v>57</v>
      </c>
      <c r="B23" s="7" t="n">
        <v>46027.4409722222</v>
      </c>
      <c r="C23" s="7" t="n">
        <v>46029.20625</v>
      </c>
      <c r="D23" s="2" t="s">
        <v>42</v>
      </c>
      <c r="E23" s="2" t="s">
        <v>32</v>
      </c>
      <c r="F23" s="2" t="s">
        <v>27</v>
      </c>
      <c r="G23" s="2" t="s">
        <v>29</v>
      </c>
      <c r="H23" s="2" t="n">
        <v>2</v>
      </c>
      <c r="I23" s="2" t="str">
        <f aca="false">IF(C23="","Open","Resolved")</f>
        <v>Resolved</v>
      </c>
      <c r="J23" s="2" t="str">
        <f aca="false">TEXT(B23,"yyyy-mm")</f>
        <v>2026-01</v>
      </c>
      <c r="K23" s="8" t="n">
        <f aca="false">IF(C23="","",ROUND((C23-B23)*24,2))</f>
        <v>42.37</v>
      </c>
      <c r="L23" s="2" t="n">
        <f aca="false">INDEX('SLA Policy'!$B$2:$B$5,MATCH(E23,'SLA Policy'!$A$2:$A$5,0))</f>
        <v>72</v>
      </c>
      <c r="M23" s="2" t="str">
        <f aca="false">IF(K23="","Open",IF(K23&lt;=L23,"Yes","No"))</f>
        <v>Yes</v>
      </c>
    </row>
    <row r="24" customFormat="false" ht="15" hidden="false" customHeight="false" outlineLevel="0" collapsed="false">
      <c r="A24" s="2" t="s">
        <v>58</v>
      </c>
      <c r="B24" s="7" t="n">
        <v>46027.7027777778</v>
      </c>
      <c r="C24" s="7" t="n">
        <v>46027.8833333333</v>
      </c>
      <c r="D24" s="2" t="s">
        <v>42</v>
      </c>
      <c r="E24" s="2" t="s">
        <v>35</v>
      </c>
      <c r="F24" s="2" t="s">
        <v>24</v>
      </c>
      <c r="G24" s="2" t="s">
        <v>29</v>
      </c>
      <c r="H24" s="2" t="n">
        <v>5</v>
      </c>
      <c r="I24" s="2" t="str">
        <f aca="false">IF(C24="","Open","Resolved")</f>
        <v>Resolved</v>
      </c>
      <c r="J24" s="2" t="str">
        <f aca="false">TEXT(B24,"yyyy-mm")</f>
        <v>2026-01</v>
      </c>
      <c r="K24" s="8" t="n">
        <f aca="false">IF(C24="","",ROUND((C24-B24)*24,2))</f>
        <v>4.33</v>
      </c>
      <c r="L24" s="2" t="n">
        <f aca="false">INDEX('SLA Policy'!$B$2:$B$5,MATCH(E24,'SLA Policy'!$A$2:$A$5,0))</f>
        <v>24</v>
      </c>
      <c r="M24" s="2" t="str">
        <f aca="false">IF(K24="","Open",IF(K24&lt;=L24,"Yes","No"))</f>
        <v>Yes</v>
      </c>
    </row>
    <row r="25" customFormat="false" ht="15" hidden="false" customHeight="false" outlineLevel="0" collapsed="false">
      <c r="A25" s="2" t="s">
        <v>59</v>
      </c>
      <c r="B25" s="7" t="n">
        <v>46027.7506944445</v>
      </c>
      <c r="C25" s="7" t="n">
        <v>46027.9777777778</v>
      </c>
      <c r="D25" s="2" t="s">
        <v>42</v>
      </c>
      <c r="E25" s="2" t="s">
        <v>35</v>
      </c>
      <c r="F25" s="2" t="s">
        <v>28</v>
      </c>
      <c r="G25" s="2" t="s">
        <v>29</v>
      </c>
      <c r="H25" s="2" t="n">
        <v>5</v>
      </c>
      <c r="I25" s="2" t="str">
        <f aca="false">IF(C25="","Open","Resolved")</f>
        <v>Resolved</v>
      </c>
      <c r="J25" s="2" t="str">
        <f aca="false">TEXT(B25,"yyyy-mm")</f>
        <v>2026-01</v>
      </c>
      <c r="K25" s="8" t="n">
        <f aca="false">IF(C25="","",ROUND((C25-B25)*24,2))</f>
        <v>5.45</v>
      </c>
      <c r="L25" s="2" t="n">
        <f aca="false">INDEX('SLA Policy'!$B$2:$B$5,MATCH(E25,'SLA Policy'!$A$2:$A$5,0))</f>
        <v>24</v>
      </c>
      <c r="M25" s="2" t="str">
        <f aca="false">IF(K25="","Open",IF(K25&lt;=L25,"Yes","No"))</f>
        <v>Yes</v>
      </c>
    </row>
    <row r="26" customFormat="false" ht="15" hidden="false" customHeight="false" outlineLevel="0" collapsed="false">
      <c r="A26" s="2" t="s">
        <v>60</v>
      </c>
      <c r="B26" s="7" t="n">
        <v>46027.7791666667</v>
      </c>
      <c r="C26" s="7" t="n">
        <v>46028.5208333333</v>
      </c>
      <c r="D26" s="2" t="s">
        <v>31</v>
      </c>
      <c r="E26" s="2" t="s">
        <v>35</v>
      </c>
      <c r="F26" s="2" t="s">
        <v>27</v>
      </c>
      <c r="G26" s="2" t="s">
        <v>33</v>
      </c>
      <c r="H26" s="2" t="n">
        <v>4</v>
      </c>
      <c r="I26" s="2" t="str">
        <f aca="false">IF(C26="","Open","Resolved")</f>
        <v>Resolved</v>
      </c>
      <c r="J26" s="2" t="str">
        <f aca="false">TEXT(B26,"yyyy-mm")</f>
        <v>2026-01</v>
      </c>
      <c r="K26" s="8" t="n">
        <f aca="false">IF(C26="","",ROUND((C26-B26)*24,2))</f>
        <v>17.8</v>
      </c>
      <c r="L26" s="2" t="n">
        <f aca="false">INDEX('SLA Policy'!$B$2:$B$5,MATCH(E26,'SLA Policy'!$A$2:$A$5,0))</f>
        <v>24</v>
      </c>
      <c r="M26" s="2" t="str">
        <f aca="false">IF(K26="","Open",IF(K26&lt;=L26,"Yes","No"))</f>
        <v>Yes</v>
      </c>
    </row>
    <row r="27" customFormat="false" ht="15" hidden="false" customHeight="false" outlineLevel="0" collapsed="false">
      <c r="A27" s="2" t="s">
        <v>61</v>
      </c>
      <c r="B27" s="7" t="n">
        <v>46028.4944444444</v>
      </c>
      <c r="C27" s="7" t="n">
        <v>46036.5701388889</v>
      </c>
      <c r="D27" s="2" t="s">
        <v>48</v>
      </c>
      <c r="E27" s="2" t="s">
        <v>32</v>
      </c>
      <c r="F27" s="2" t="s">
        <v>24</v>
      </c>
      <c r="G27" s="2" t="s">
        <v>25</v>
      </c>
      <c r="H27" s="2" t="n">
        <v>1</v>
      </c>
      <c r="I27" s="2" t="str">
        <f aca="false">IF(C27="","Open","Resolved")</f>
        <v>Resolved</v>
      </c>
      <c r="J27" s="2" t="str">
        <f aca="false">TEXT(B27,"yyyy-mm")</f>
        <v>2026-01</v>
      </c>
      <c r="K27" s="8" t="n">
        <f aca="false">IF(C27="","",ROUND((C27-B27)*24,2))</f>
        <v>193.82</v>
      </c>
      <c r="L27" s="2" t="n">
        <f aca="false">INDEX('SLA Policy'!$B$2:$B$5,MATCH(E27,'SLA Policy'!$A$2:$A$5,0))</f>
        <v>72</v>
      </c>
      <c r="M27" s="2" t="str">
        <f aca="false">IF(K27="","Open",IF(K27&lt;=L27,"Yes","No"))</f>
        <v>No</v>
      </c>
    </row>
    <row r="28" customFormat="false" ht="15" hidden="false" customHeight="false" outlineLevel="0" collapsed="false">
      <c r="A28" s="2" t="s">
        <v>62</v>
      </c>
      <c r="B28" s="7" t="n">
        <v>46028.4986111111</v>
      </c>
      <c r="C28" s="7" t="n">
        <v>46029.60625</v>
      </c>
      <c r="D28" s="2" t="s">
        <v>42</v>
      </c>
      <c r="E28" s="2" t="s">
        <v>32</v>
      </c>
      <c r="F28" s="2" t="s">
        <v>27</v>
      </c>
      <c r="G28" s="2" t="s">
        <v>29</v>
      </c>
      <c r="H28" s="2" t="n">
        <v>4</v>
      </c>
      <c r="I28" s="2" t="str">
        <f aca="false">IF(C28="","Open","Resolved")</f>
        <v>Resolved</v>
      </c>
      <c r="J28" s="2" t="str">
        <f aca="false">TEXT(B28,"yyyy-mm")</f>
        <v>2026-01</v>
      </c>
      <c r="K28" s="8" t="n">
        <f aca="false">IF(C28="","",ROUND((C28-B28)*24,2))</f>
        <v>26.58</v>
      </c>
      <c r="L28" s="2" t="n">
        <f aca="false">INDEX('SLA Policy'!$B$2:$B$5,MATCH(E28,'SLA Policy'!$A$2:$A$5,0))</f>
        <v>72</v>
      </c>
      <c r="M28" s="2" t="str">
        <f aca="false">IF(K28="","Open",IF(K28&lt;=L28,"Yes","No"))</f>
        <v>Yes</v>
      </c>
    </row>
    <row r="29" customFormat="false" ht="15" hidden="false" customHeight="false" outlineLevel="0" collapsed="false">
      <c r="A29" s="2" t="s">
        <v>63</v>
      </c>
      <c r="B29" s="7" t="n">
        <v>46028.5375</v>
      </c>
      <c r="C29" s="7" t="n">
        <v>46034.7722222222</v>
      </c>
      <c r="D29" s="2" t="s">
        <v>48</v>
      </c>
      <c r="E29" s="2" t="s">
        <v>32</v>
      </c>
      <c r="F29" s="2" t="s">
        <v>38</v>
      </c>
      <c r="G29" s="2" t="s">
        <v>25</v>
      </c>
      <c r="H29" s="2" t="n">
        <v>1</v>
      </c>
      <c r="I29" s="2" t="str">
        <f aca="false">IF(C29="","Open","Resolved")</f>
        <v>Resolved</v>
      </c>
      <c r="J29" s="2" t="str">
        <f aca="false">TEXT(B29,"yyyy-mm")</f>
        <v>2026-01</v>
      </c>
      <c r="K29" s="8" t="n">
        <f aca="false">IF(C29="","",ROUND((C29-B29)*24,2))</f>
        <v>149.63</v>
      </c>
      <c r="L29" s="2" t="n">
        <f aca="false">INDEX('SLA Policy'!$B$2:$B$5,MATCH(E29,'SLA Policy'!$A$2:$A$5,0))</f>
        <v>72</v>
      </c>
      <c r="M29" s="2" t="str">
        <f aca="false">IF(K29="","Open",IF(K29&lt;=L29,"Yes","No"))</f>
        <v>No</v>
      </c>
    </row>
    <row r="30" customFormat="false" ht="15" hidden="false" customHeight="false" outlineLevel="0" collapsed="false">
      <c r="A30" s="2" t="s">
        <v>64</v>
      </c>
      <c r="B30" s="7" t="n">
        <v>46028.5722222222</v>
      </c>
      <c r="C30" s="7" t="n">
        <v>46031.5090277778</v>
      </c>
      <c r="D30" s="2" t="s">
        <v>31</v>
      </c>
      <c r="E30" s="2" t="s">
        <v>23</v>
      </c>
      <c r="F30" s="2" t="s">
        <v>38</v>
      </c>
      <c r="G30" s="2" t="s">
        <v>33</v>
      </c>
      <c r="H30" s="2" t="n">
        <v>2</v>
      </c>
      <c r="I30" s="2" t="str">
        <f aca="false">IF(C30="","Open","Resolved")</f>
        <v>Resolved</v>
      </c>
      <c r="J30" s="2" t="str">
        <f aca="false">TEXT(B30,"yyyy-mm")</f>
        <v>2026-01</v>
      </c>
      <c r="K30" s="8" t="n">
        <f aca="false">IF(C30="","",ROUND((C30-B30)*24,2))</f>
        <v>70.48</v>
      </c>
      <c r="L30" s="2" t="n">
        <f aca="false">INDEX('SLA Policy'!$B$2:$B$5,MATCH(E30,'SLA Policy'!$A$2:$A$5,0))</f>
        <v>8</v>
      </c>
      <c r="M30" s="2" t="str">
        <f aca="false">IF(K30="","Open",IF(K30&lt;=L30,"Yes","No"))</f>
        <v>No</v>
      </c>
    </row>
    <row r="31" customFormat="false" ht="15" hidden="false" customHeight="false" outlineLevel="0" collapsed="false">
      <c r="A31" s="2" t="s">
        <v>65</v>
      </c>
      <c r="B31" s="7" t="n">
        <v>46028.7583333333</v>
      </c>
      <c r="C31" s="7" t="n">
        <v>46029.3729166667</v>
      </c>
      <c r="D31" s="2" t="s">
        <v>48</v>
      </c>
      <c r="E31" s="2" t="s">
        <v>23</v>
      </c>
      <c r="F31" s="2" t="s">
        <v>27</v>
      </c>
      <c r="G31" s="2" t="s">
        <v>25</v>
      </c>
      <c r="H31" s="2" t="n">
        <v>4</v>
      </c>
      <c r="I31" s="2" t="str">
        <f aca="false">IF(C31="","Open","Resolved")</f>
        <v>Resolved</v>
      </c>
      <c r="J31" s="2" t="str">
        <f aca="false">TEXT(B31,"yyyy-mm")</f>
        <v>2026-01</v>
      </c>
      <c r="K31" s="8" t="n">
        <f aca="false">IF(C31="","",ROUND((C31-B31)*24,2))</f>
        <v>14.75</v>
      </c>
      <c r="L31" s="2" t="n">
        <f aca="false">INDEX('SLA Policy'!$B$2:$B$5,MATCH(E31,'SLA Policy'!$A$2:$A$5,0))</f>
        <v>8</v>
      </c>
      <c r="M31" s="2" t="str">
        <f aca="false">IF(K31="","Open",IF(K31&lt;=L31,"Yes","No"))</f>
        <v>No</v>
      </c>
    </row>
    <row r="32" customFormat="false" ht="15" hidden="false" customHeight="false" outlineLevel="0" collapsed="false">
      <c r="A32" s="2" t="s">
        <v>66</v>
      </c>
      <c r="B32" s="7" t="n">
        <v>46028.7638888889</v>
      </c>
      <c r="C32" s="7" t="n">
        <v>46029.8763888889</v>
      </c>
      <c r="D32" s="2" t="s">
        <v>48</v>
      </c>
      <c r="E32" s="2" t="s">
        <v>35</v>
      </c>
      <c r="F32" s="2" t="s">
        <v>38</v>
      </c>
      <c r="G32" s="2" t="s">
        <v>25</v>
      </c>
      <c r="H32" s="2" t="n">
        <v>4</v>
      </c>
      <c r="I32" s="2" t="str">
        <f aca="false">IF(C32="","Open","Resolved")</f>
        <v>Resolved</v>
      </c>
      <c r="J32" s="2" t="str">
        <f aca="false">TEXT(B32,"yyyy-mm")</f>
        <v>2026-01</v>
      </c>
      <c r="K32" s="8" t="n">
        <f aca="false">IF(C32="","",ROUND((C32-B32)*24,2))</f>
        <v>26.7</v>
      </c>
      <c r="L32" s="2" t="n">
        <f aca="false">INDEX('SLA Policy'!$B$2:$B$5,MATCH(E32,'SLA Policy'!$A$2:$A$5,0))</f>
        <v>24</v>
      </c>
      <c r="M32" s="2" t="str">
        <f aca="false">IF(K32="","Open",IF(K32&lt;=L32,"Yes","No"))</f>
        <v>No</v>
      </c>
    </row>
    <row r="33" customFormat="false" ht="15" hidden="false" customHeight="false" outlineLevel="0" collapsed="false">
      <c r="A33" s="2" t="s">
        <v>67</v>
      </c>
      <c r="B33" s="7" t="n">
        <v>46029.3090277778</v>
      </c>
      <c r="C33" s="7" t="n">
        <v>46029.8888888889</v>
      </c>
      <c r="D33" s="2" t="s">
        <v>48</v>
      </c>
      <c r="E33" s="2" t="s">
        <v>35</v>
      </c>
      <c r="F33" s="2" t="s">
        <v>27</v>
      </c>
      <c r="G33" s="2" t="s">
        <v>25</v>
      </c>
      <c r="H33" s="2" t="n">
        <v>4</v>
      </c>
      <c r="I33" s="2" t="str">
        <f aca="false">IF(C33="","Open","Resolved")</f>
        <v>Resolved</v>
      </c>
      <c r="J33" s="2" t="str">
        <f aca="false">TEXT(B33,"yyyy-mm")</f>
        <v>2026-01</v>
      </c>
      <c r="K33" s="8" t="n">
        <f aca="false">IF(C33="","",ROUND((C33-B33)*24,2))</f>
        <v>13.92</v>
      </c>
      <c r="L33" s="2" t="n">
        <f aca="false">INDEX('SLA Policy'!$B$2:$B$5,MATCH(E33,'SLA Policy'!$A$2:$A$5,0))</f>
        <v>24</v>
      </c>
      <c r="M33" s="2" t="str">
        <f aca="false">IF(K33="","Open",IF(K33&lt;=L33,"Yes","No"))</f>
        <v>Yes</v>
      </c>
    </row>
    <row r="34" customFormat="false" ht="15" hidden="false" customHeight="false" outlineLevel="0" collapsed="false">
      <c r="A34" s="2" t="s">
        <v>68</v>
      </c>
      <c r="B34" s="7" t="n">
        <v>46029.3319444444</v>
      </c>
      <c r="C34" s="7" t="n">
        <v>46029.4243055556</v>
      </c>
      <c r="D34" s="2" t="s">
        <v>42</v>
      </c>
      <c r="E34" s="2" t="s">
        <v>40</v>
      </c>
      <c r="F34" s="2" t="s">
        <v>24</v>
      </c>
      <c r="G34" s="2" t="s">
        <v>29</v>
      </c>
      <c r="H34" s="2" t="n">
        <v>5</v>
      </c>
      <c r="I34" s="2" t="str">
        <f aca="false">IF(C34="","Open","Resolved")</f>
        <v>Resolved</v>
      </c>
      <c r="J34" s="2" t="str">
        <f aca="false">TEXT(B34,"yyyy-mm")</f>
        <v>2026-01</v>
      </c>
      <c r="K34" s="8" t="n">
        <f aca="false">IF(C34="","",ROUND((C34-B34)*24,2))</f>
        <v>2.22</v>
      </c>
      <c r="L34" s="2" t="n">
        <f aca="false">INDEX('SLA Policy'!$B$2:$B$5,MATCH(E34,'SLA Policy'!$A$2:$A$5,0))</f>
        <v>4</v>
      </c>
      <c r="M34" s="2" t="str">
        <f aca="false">IF(K34="","Open",IF(K34&lt;=L34,"Yes","No"))</f>
        <v>Yes</v>
      </c>
    </row>
    <row r="35" customFormat="false" ht="15" hidden="false" customHeight="false" outlineLevel="0" collapsed="false">
      <c r="A35" s="2" t="s">
        <v>69</v>
      </c>
      <c r="B35" s="7" t="n">
        <v>46029.3784722222</v>
      </c>
      <c r="C35" s="7" t="n">
        <v>46031.4625</v>
      </c>
      <c r="D35" s="2" t="s">
        <v>22</v>
      </c>
      <c r="E35" s="2" t="s">
        <v>32</v>
      </c>
      <c r="F35" s="2" t="s">
        <v>38</v>
      </c>
      <c r="G35" s="2" t="s">
        <v>25</v>
      </c>
      <c r="H35" s="2" t="n">
        <v>2</v>
      </c>
      <c r="I35" s="2" t="str">
        <f aca="false">IF(C35="","Open","Resolved")</f>
        <v>Resolved</v>
      </c>
      <c r="J35" s="2" t="str">
        <f aca="false">TEXT(B35,"yyyy-mm")</f>
        <v>2026-01</v>
      </c>
      <c r="K35" s="8" t="n">
        <f aca="false">IF(C35="","",ROUND((C35-B35)*24,2))</f>
        <v>50.02</v>
      </c>
      <c r="L35" s="2" t="n">
        <f aca="false">INDEX('SLA Policy'!$B$2:$B$5,MATCH(E35,'SLA Policy'!$A$2:$A$5,0))</f>
        <v>72</v>
      </c>
      <c r="M35" s="2" t="str">
        <f aca="false">IF(K35="","Open",IF(K35&lt;=L35,"Yes","No"))</f>
        <v>Yes</v>
      </c>
    </row>
    <row r="36" customFormat="false" ht="15" hidden="false" customHeight="false" outlineLevel="0" collapsed="false">
      <c r="A36" s="2" t="s">
        <v>70</v>
      </c>
      <c r="B36" s="7" t="n">
        <v>46029.3861111111</v>
      </c>
      <c r="C36" s="7" t="n">
        <v>46030.7611111111</v>
      </c>
      <c r="D36" s="2" t="s">
        <v>22</v>
      </c>
      <c r="E36" s="2" t="s">
        <v>35</v>
      </c>
      <c r="F36" s="2" t="s">
        <v>38</v>
      </c>
      <c r="G36" s="2" t="s">
        <v>25</v>
      </c>
      <c r="H36" s="2" t="n">
        <v>3</v>
      </c>
      <c r="I36" s="2" t="str">
        <f aca="false">IF(C36="","Open","Resolved")</f>
        <v>Resolved</v>
      </c>
      <c r="J36" s="2" t="str">
        <f aca="false">TEXT(B36,"yyyy-mm")</f>
        <v>2026-01</v>
      </c>
      <c r="K36" s="8" t="n">
        <f aca="false">IF(C36="","",ROUND((C36-B36)*24,2))</f>
        <v>33</v>
      </c>
      <c r="L36" s="2" t="n">
        <f aca="false">INDEX('SLA Policy'!$B$2:$B$5,MATCH(E36,'SLA Policy'!$A$2:$A$5,0))</f>
        <v>24</v>
      </c>
      <c r="M36" s="2" t="str">
        <f aca="false">IF(K36="","Open",IF(K36&lt;=L36,"Yes","No"))</f>
        <v>No</v>
      </c>
    </row>
    <row r="37" customFormat="false" ht="15" hidden="false" customHeight="false" outlineLevel="0" collapsed="false">
      <c r="A37" s="2" t="s">
        <v>71</v>
      </c>
      <c r="B37" s="7" t="n">
        <v>46029.4222222222</v>
      </c>
      <c r="C37" s="7" t="n">
        <v>46029.6715277778</v>
      </c>
      <c r="D37" s="2" t="s">
        <v>31</v>
      </c>
      <c r="E37" s="2" t="s">
        <v>23</v>
      </c>
      <c r="F37" s="2" t="s">
        <v>38</v>
      </c>
      <c r="G37" s="2" t="s">
        <v>33</v>
      </c>
      <c r="H37" s="2" t="n">
        <v>4</v>
      </c>
      <c r="I37" s="2" t="str">
        <f aca="false">IF(C37="","Open","Resolved")</f>
        <v>Resolved</v>
      </c>
      <c r="J37" s="2" t="str">
        <f aca="false">TEXT(B37,"yyyy-mm")</f>
        <v>2026-01</v>
      </c>
      <c r="K37" s="8" t="n">
        <f aca="false">IF(C37="","",ROUND((C37-B37)*24,2))</f>
        <v>5.98</v>
      </c>
      <c r="L37" s="2" t="n">
        <f aca="false">INDEX('SLA Policy'!$B$2:$B$5,MATCH(E37,'SLA Policy'!$A$2:$A$5,0))</f>
        <v>8</v>
      </c>
      <c r="M37" s="2" t="str">
        <f aca="false">IF(K37="","Open",IF(K37&lt;=L37,"Yes","No"))</f>
        <v>Yes</v>
      </c>
    </row>
    <row r="38" customFormat="false" ht="15" hidden="false" customHeight="false" outlineLevel="0" collapsed="false">
      <c r="A38" s="2" t="s">
        <v>72</v>
      </c>
      <c r="B38" s="7" t="n">
        <v>46029.6402777778</v>
      </c>
      <c r="C38" s="7" t="n">
        <v>46031.0986111111</v>
      </c>
      <c r="D38" s="2" t="s">
        <v>31</v>
      </c>
      <c r="E38" s="2" t="s">
        <v>35</v>
      </c>
      <c r="F38" s="2" t="s">
        <v>27</v>
      </c>
      <c r="G38" s="2" t="s">
        <v>33</v>
      </c>
      <c r="H38" s="2" t="n">
        <v>4</v>
      </c>
      <c r="I38" s="2" t="str">
        <f aca="false">IF(C38="","Open","Resolved")</f>
        <v>Resolved</v>
      </c>
      <c r="J38" s="2" t="str">
        <f aca="false">TEXT(B38,"yyyy-mm")</f>
        <v>2026-01</v>
      </c>
      <c r="K38" s="8" t="n">
        <f aca="false">IF(C38="","",ROUND((C38-B38)*24,2))</f>
        <v>35</v>
      </c>
      <c r="L38" s="2" t="n">
        <f aca="false">INDEX('SLA Policy'!$B$2:$B$5,MATCH(E38,'SLA Policy'!$A$2:$A$5,0))</f>
        <v>24</v>
      </c>
      <c r="M38" s="2" t="str">
        <f aca="false">IF(K38="","Open",IF(K38&lt;=L38,"Yes","No"))</f>
        <v>No</v>
      </c>
    </row>
    <row r="39" customFormat="false" ht="15" hidden="false" customHeight="false" outlineLevel="0" collapsed="false">
      <c r="A39" s="2" t="s">
        <v>73</v>
      </c>
      <c r="B39" s="7" t="n">
        <v>46029.6458333333</v>
      </c>
      <c r="C39" s="7" t="n">
        <v>46029.8791666667</v>
      </c>
      <c r="D39" s="2" t="s">
        <v>42</v>
      </c>
      <c r="E39" s="2" t="s">
        <v>35</v>
      </c>
      <c r="F39" s="2" t="s">
        <v>24</v>
      </c>
      <c r="G39" s="2" t="s">
        <v>29</v>
      </c>
      <c r="H39" s="2" t="n">
        <v>4</v>
      </c>
      <c r="I39" s="2" t="str">
        <f aca="false">IF(C39="","Open","Resolved")</f>
        <v>Resolved</v>
      </c>
      <c r="J39" s="2" t="str">
        <f aca="false">TEXT(B39,"yyyy-mm")</f>
        <v>2026-01</v>
      </c>
      <c r="K39" s="8" t="n">
        <f aca="false">IF(C39="","",ROUND((C39-B39)*24,2))</f>
        <v>5.6</v>
      </c>
      <c r="L39" s="2" t="n">
        <f aca="false">INDEX('SLA Policy'!$B$2:$B$5,MATCH(E39,'SLA Policy'!$A$2:$A$5,0))</f>
        <v>24</v>
      </c>
      <c r="M39" s="2" t="str">
        <f aca="false">IF(K39="","Open",IF(K39&lt;=L39,"Yes","No"))</f>
        <v>Yes</v>
      </c>
    </row>
    <row r="40" customFormat="false" ht="15" hidden="false" customHeight="false" outlineLevel="0" collapsed="false">
      <c r="A40" s="2" t="s">
        <v>74</v>
      </c>
      <c r="B40" s="7" t="n">
        <v>46030.3590277778</v>
      </c>
      <c r="C40" s="7" t="n">
        <v>46031.7465277778</v>
      </c>
      <c r="D40" s="2" t="s">
        <v>22</v>
      </c>
      <c r="E40" s="2" t="s">
        <v>35</v>
      </c>
      <c r="F40" s="2" t="s">
        <v>27</v>
      </c>
      <c r="G40" s="2" t="s">
        <v>25</v>
      </c>
      <c r="H40" s="2" t="n">
        <v>3</v>
      </c>
      <c r="I40" s="2" t="str">
        <f aca="false">IF(C40="","Open","Resolved")</f>
        <v>Resolved</v>
      </c>
      <c r="J40" s="2" t="str">
        <f aca="false">TEXT(B40,"yyyy-mm")</f>
        <v>2026-01</v>
      </c>
      <c r="K40" s="8" t="n">
        <f aca="false">IF(C40="","",ROUND((C40-B40)*24,2))</f>
        <v>33.3</v>
      </c>
      <c r="L40" s="2" t="n">
        <f aca="false">INDEX('SLA Policy'!$B$2:$B$5,MATCH(E40,'SLA Policy'!$A$2:$A$5,0))</f>
        <v>24</v>
      </c>
      <c r="M40" s="2" t="str">
        <f aca="false">IF(K40="","Open",IF(K40&lt;=L40,"Yes","No"))</f>
        <v>No</v>
      </c>
    </row>
    <row r="41" customFormat="false" ht="15" hidden="false" customHeight="false" outlineLevel="0" collapsed="false">
      <c r="A41" s="2" t="s">
        <v>75</v>
      </c>
      <c r="B41" s="7" t="n">
        <v>46030.4756944445</v>
      </c>
      <c r="C41" s="7" t="n">
        <v>46031.14375</v>
      </c>
      <c r="D41" s="2" t="s">
        <v>42</v>
      </c>
      <c r="E41" s="2" t="s">
        <v>32</v>
      </c>
      <c r="F41" s="2" t="s">
        <v>24</v>
      </c>
      <c r="G41" s="2" t="s">
        <v>29</v>
      </c>
      <c r="H41" s="2" t="n">
        <v>4</v>
      </c>
      <c r="I41" s="2" t="str">
        <f aca="false">IF(C41="","Open","Resolved")</f>
        <v>Resolved</v>
      </c>
      <c r="J41" s="2" t="str">
        <f aca="false">TEXT(B41,"yyyy-mm")</f>
        <v>2026-01</v>
      </c>
      <c r="K41" s="8" t="n">
        <f aca="false">IF(C41="","",ROUND((C41-B41)*24,2))</f>
        <v>16.03</v>
      </c>
      <c r="L41" s="2" t="n">
        <f aca="false">INDEX('SLA Policy'!$B$2:$B$5,MATCH(E41,'SLA Policy'!$A$2:$A$5,0))</f>
        <v>72</v>
      </c>
      <c r="M41" s="2" t="str">
        <f aca="false">IF(K41="","Open",IF(K41&lt;=L41,"Yes","No"))</f>
        <v>Yes</v>
      </c>
    </row>
    <row r="42" customFormat="false" ht="15" hidden="false" customHeight="false" outlineLevel="0" collapsed="false">
      <c r="A42" s="2" t="s">
        <v>76</v>
      </c>
      <c r="B42" s="7" t="n">
        <v>46030.4791666667</v>
      </c>
      <c r="C42" s="7" t="n">
        <v>46030.8458333333</v>
      </c>
      <c r="D42" s="2" t="s">
        <v>48</v>
      </c>
      <c r="E42" s="2" t="s">
        <v>23</v>
      </c>
      <c r="F42" s="2" t="s">
        <v>28</v>
      </c>
      <c r="G42" s="2" t="s">
        <v>25</v>
      </c>
      <c r="H42" s="2" t="n">
        <v>5</v>
      </c>
      <c r="I42" s="2" t="str">
        <f aca="false">IF(C42="","Open","Resolved")</f>
        <v>Resolved</v>
      </c>
      <c r="J42" s="2" t="str">
        <f aca="false">TEXT(B42,"yyyy-mm")</f>
        <v>2026-01</v>
      </c>
      <c r="K42" s="8" t="n">
        <f aca="false">IF(C42="","",ROUND((C42-B42)*24,2))</f>
        <v>8.8</v>
      </c>
      <c r="L42" s="2" t="n">
        <f aca="false">INDEX('SLA Policy'!$B$2:$B$5,MATCH(E42,'SLA Policy'!$A$2:$A$5,0))</f>
        <v>8</v>
      </c>
      <c r="M42" s="2" t="str">
        <f aca="false">IF(K42="","Open",IF(K42&lt;=L42,"Yes","No"))</f>
        <v>No</v>
      </c>
    </row>
    <row r="43" customFormat="false" ht="15" hidden="false" customHeight="false" outlineLevel="0" collapsed="false">
      <c r="A43" s="2" t="s">
        <v>77</v>
      </c>
      <c r="B43" s="7" t="n">
        <v>46030.4847222222</v>
      </c>
      <c r="C43" s="7" t="n">
        <v>46030.8902777778</v>
      </c>
      <c r="D43" s="2" t="s">
        <v>48</v>
      </c>
      <c r="E43" s="2" t="s">
        <v>23</v>
      </c>
      <c r="F43" s="2" t="s">
        <v>24</v>
      </c>
      <c r="G43" s="2" t="s">
        <v>25</v>
      </c>
      <c r="H43" s="2" t="n">
        <v>4</v>
      </c>
      <c r="I43" s="2" t="str">
        <f aca="false">IF(C43="","Open","Resolved")</f>
        <v>Resolved</v>
      </c>
      <c r="J43" s="2" t="str">
        <f aca="false">TEXT(B43,"yyyy-mm")</f>
        <v>2026-01</v>
      </c>
      <c r="K43" s="8" t="n">
        <f aca="false">IF(C43="","",ROUND((C43-B43)*24,2))</f>
        <v>9.73</v>
      </c>
      <c r="L43" s="2" t="n">
        <f aca="false">INDEX('SLA Policy'!$B$2:$B$5,MATCH(E43,'SLA Policy'!$A$2:$A$5,0))</f>
        <v>8</v>
      </c>
      <c r="M43" s="2" t="str">
        <f aca="false">IF(K43="","Open",IF(K43&lt;=L43,"Yes","No"))</f>
        <v>No</v>
      </c>
    </row>
    <row r="44" customFormat="false" ht="15" hidden="false" customHeight="false" outlineLevel="0" collapsed="false">
      <c r="A44" s="2" t="s">
        <v>78</v>
      </c>
      <c r="B44" s="7" t="n">
        <v>46030.51875</v>
      </c>
      <c r="C44" s="7" t="n">
        <v>46031.2465277778</v>
      </c>
      <c r="D44" s="2" t="s">
        <v>31</v>
      </c>
      <c r="E44" s="2" t="s">
        <v>35</v>
      </c>
      <c r="F44" s="2" t="s">
        <v>38</v>
      </c>
      <c r="G44" s="2" t="s">
        <v>33</v>
      </c>
      <c r="H44" s="2" t="n">
        <v>5</v>
      </c>
      <c r="I44" s="2" t="str">
        <f aca="false">IF(C44="","Open","Resolved")</f>
        <v>Resolved</v>
      </c>
      <c r="J44" s="2" t="str">
        <f aca="false">TEXT(B44,"yyyy-mm")</f>
        <v>2026-01</v>
      </c>
      <c r="K44" s="8" t="n">
        <f aca="false">IF(C44="","",ROUND((C44-B44)*24,2))</f>
        <v>17.47</v>
      </c>
      <c r="L44" s="2" t="n">
        <f aca="false">INDEX('SLA Policy'!$B$2:$B$5,MATCH(E44,'SLA Policy'!$A$2:$A$5,0))</f>
        <v>24</v>
      </c>
      <c r="M44" s="2" t="str">
        <f aca="false">IF(K44="","Open",IF(K44&lt;=L44,"Yes","No"))</f>
        <v>Yes</v>
      </c>
    </row>
    <row r="45" customFormat="false" ht="15" hidden="false" customHeight="false" outlineLevel="0" collapsed="false">
      <c r="A45" s="2" t="s">
        <v>79</v>
      </c>
      <c r="B45" s="7" t="n">
        <v>46030.5666666667</v>
      </c>
      <c r="C45" s="7" t="n">
        <v>46031.1763888889</v>
      </c>
      <c r="D45" s="2" t="s">
        <v>31</v>
      </c>
      <c r="E45" s="2" t="s">
        <v>35</v>
      </c>
      <c r="F45" s="2" t="s">
        <v>28</v>
      </c>
      <c r="G45" s="2" t="s">
        <v>33</v>
      </c>
      <c r="H45" s="2" t="n">
        <v>4</v>
      </c>
      <c r="I45" s="2" t="str">
        <f aca="false">IF(C45="","Open","Resolved")</f>
        <v>Resolved</v>
      </c>
      <c r="J45" s="2" t="str">
        <f aca="false">TEXT(B45,"yyyy-mm")</f>
        <v>2026-01</v>
      </c>
      <c r="K45" s="8" t="n">
        <f aca="false">IF(C45="","",ROUND((C45-B45)*24,2))</f>
        <v>14.63</v>
      </c>
      <c r="L45" s="2" t="n">
        <f aca="false">INDEX('SLA Policy'!$B$2:$B$5,MATCH(E45,'SLA Policy'!$A$2:$A$5,0))</f>
        <v>24</v>
      </c>
      <c r="M45" s="2" t="str">
        <f aca="false">IF(K45="","Open",IF(K45&lt;=L45,"Yes","No"))</f>
        <v>Yes</v>
      </c>
    </row>
    <row r="46" customFormat="false" ht="15" hidden="false" customHeight="false" outlineLevel="0" collapsed="false">
      <c r="A46" s="2" t="s">
        <v>80</v>
      </c>
      <c r="B46" s="7" t="n">
        <v>46030.63125</v>
      </c>
      <c r="C46" s="7" t="n">
        <v>46031.0277777778</v>
      </c>
      <c r="D46" s="2" t="s">
        <v>31</v>
      </c>
      <c r="E46" s="2" t="s">
        <v>35</v>
      </c>
      <c r="F46" s="2" t="s">
        <v>27</v>
      </c>
      <c r="G46" s="2" t="s">
        <v>33</v>
      </c>
      <c r="H46" s="2" t="n">
        <v>4</v>
      </c>
      <c r="I46" s="2" t="str">
        <f aca="false">IF(C46="","Open","Resolved")</f>
        <v>Resolved</v>
      </c>
      <c r="J46" s="2" t="str">
        <f aca="false">TEXT(B46,"yyyy-mm")</f>
        <v>2026-01</v>
      </c>
      <c r="K46" s="8" t="n">
        <f aca="false">IF(C46="","",ROUND((C46-B46)*24,2))</f>
        <v>9.52</v>
      </c>
      <c r="L46" s="2" t="n">
        <f aca="false">INDEX('SLA Policy'!$B$2:$B$5,MATCH(E46,'SLA Policy'!$A$2:$A$5,0))</f>
        <v>24</v>
      </c>
      <c r="M46" s="2" t="str">
        <f aca="false">IF(K46="","Open",IF(K46&lt;=L46,"Yes","No"))</f>
        <v>Yes</v>
      </c>
    </row>
    <row r="47" customFormat="false" ht="15" hidden="false" customHeight="false" outlineLevel="0" collapsed="false">
      <c r="A47" s="2" t="s">
        <v>81</v>
      </c>
      <c r="B47" s="7" t="n">
        <v>46030.6680555556</v>
      </c>
      <c r="C47" s="7" t="n">
        <v>46031.05625</v>
      </c>
      <c r="D47" s="2" t="s">
        <v>42</v>
      </c>
      <c r="E47" s="2" t="s">
        <v>35</v>
      </c>
      <c r="F47" s="2" t="s">
        <v>38</v>
      </c>
      <c r="G47" s="2" t="s">
        <v>29</v>
      </c>
      <c r="H47" s="2" t="n">
        <v>5</v>
      </c>
      <c r="I47" s="2" t="str">
        <f aca="false">IF(C47="","Open","Resolved")</f>
        <v>Resolved</v>
      </c>
      <c r="J47" s="2" t="str">
        <f aca="false">TEXT(B47,"yyyy-mm")</f>
        <v>2026-01</v>
      </c>
      <c r="K47" s="8" t="n">
        <f aca="false">IF(C47="","",ROUND((C47-B47)*24,2))</f>
        <v>9.32</v>
      </c>
      <c r="L47" s="2" t="n">
        <f aca="false">INDEX('SLA Policy'!$B$2:$B$5,MATCH(E47,'SLA Policy'!$A$2:$A$5,0))</f>
        <v>24</v>
      </c>
      <c r="M47" s="2" t="str">
        <f aca="false">IF(K47="","Open",IF(K47&lt;=L47,"Yes","No"))</f>
        <v>Yes</v>
      </c>
    </row>
    <row r="48" customFormat="false" ht="15" hidden="false" customHeight="false" outlineLevel="0" collapsed="false">
      <c r="A48" s="2" t="s">
        <v>82</v>
      </c>
      <c r="B48" s="7" t="n">
        <v>46030.7243055556</v>
      </c>
      <c r="C48" s="7" t="n">
        <v>46031.6215277778</v>
      </c>
      <c r="D48" s="2" t="s">
        <v>31</v>
      </c>
      <c r="E48" s="2" t="s">
        <v>32</v>
      </c>
      <c r="F48" s="2" t="s">
        <v>38</v>
      </c>
      <c r="G48" s="2" t="s">
        <v>33</v>
      </c>
      <c r="H48" s="2" t="n">
        <v>4</v>
      </c>
      <c r="I48" s="2" t="str">
        <f aca="false">IF(C48="","Open","Resolved")</f>
        <v>Resolved</v>
      </c>
      <c r="J48" s="2" t="str">
        <f aca="false">TEXT(B48,"yyyy-mm")</f>
        <v>2026-01</v>
      </c>
      <c r="K48" s="8" t="n">
        <f aca="false">IF(C48="","",ROUND((C48-B48)*24,2))</f>
        <v>21.53</v>
      </c>
      <c r="L48" s="2" t="n">
        <f aca="false">INDEX('SLA Policy'!$B$2:$B$5,MATCH(E48,'SLA Policy'!$A$2:$A$5,0))</f>
        <v>72</v>
      </c>
      <c r="M48" s="2" t="str">
        <f aca="false">IF(K48="","Open",IF(K48&lt;=L48,"Yes","No"))</f>
        <v>Yes</v>
      </c>
    </row>
    <row r="49" customFormat="false" ht="15" hidden="false" customHeight="false" outlineLevel="0" collapsed="false">
      <c r="A49" s="2" t="s">
        <v>83</v>
      </c>
      <c r="B49" s="7" t="n">
        <v>46031.2916666667</v>
      </c>
      <c r="C49" s="7" t="n">
        <v>46032.1104166667</v>
      </c>
      <c r="D49" s="2" t="s">
        <v>27</v>
      </c>
      <c r="E49" s="2" t="s">
        <v>35</v>
      </c>
      <c r="F49" s="2" t="s">
        <v>27</v>
      </c>
      <c r="G49" s="2" t="s">
        <v>29</v>
      </c>
      <c r="H49" s="2" t="n">
        <v>4</v>
      </c>
      <c r="I49" s="2" t="str">
        <f aca="false">IF(C49="","Open","Resolved")</f>
        <v>Resolved</v>
      </c>
      <c r="J49" s="2" t="str">
        <f aca="false">TEXT(B49,"yyyy-mm")</f>
        <v>2026-01</v>
      </c>
      <c r="K49" s="8" t="n">
        <f aca="false">IF(C49="","",ROUND((C49-B49)*24,2))</f>
        <v>19.65</v>
      </c>
      <c r="L49" s="2" t="n">
        <f aca="false">INDEX('SLA Policy'!$B$2:$B$5,MATCH(E49,'SLA Policy'!$A$2:$A$5,0))</f>
        <v>24</v>
      </c>
      <c r="M49" s="2" t="str">
        <f aca="false">IF(K49="","Open",IF(K49&lt;=L49,"Yes","No"))</f>
        <v>Yes</v>
      </c>
    </row>
    <row r="50" customFormat="false" ht="15" hidden="false" customHeight="false" outlineLevel="0" collapsed="false">
      <c r="A50" s="2" t="s">
        <v>84</v>
      </c>
      <c r="B50" s="7" t="n">
        <v>46031.3534722222</v>
      </c>
      <c r="C50" s="7" t="n">
        <v>46032.9951388889</v>
      </c>
      <c r="D50" s="2" t="s">
        <v>22</v>
      </c>
      <c r="E50" s="2" t="s">
        <v>23</v>
      </c>
      <c r="F50" s="2" t="s">
        <v>28</v>
      </c>
      <c r="G50" s="2" t="s">
        <v>25</v>
      </c>
      <c r="H50" s="2" t="n">
        <v>3</v>
      </c>
      <c r="I50" s="2" t="str">
        <f aca="false">IF(C50="","Open","Resolved")</f>
        <v>Resolved</v>
      </c>
      <c r="J50" s="2" t="str">
        <f aca="false">TEXT(B50,"yyyy-mm")</f>
        <v>2026-01</v>
      </c>
      <c r="K50" s="8" t="n">
        <f aca="false">IF(C50="","",ROUND((C50-B50)*24,2))</f>
        <v>39.4</v>
      </c>
      <c r="L50" s="2" t="n">
        <f aca="false">INDEX('SLA Policy'!$B$2:$B$5,MATCH(E50,'SLA Policy'!$A$2:$A$5,0))</f>
        <v>8</v>
      </c>
      <c r="M50" s="2" t="str">
        <f aca="false">IF(K50="","Open",IF(K50&lt;=L50,"Yes","No"))</f>
        <v>No</v>
      </c>
    </row>
    <row r="51" customFormat="false" ht="15" hidden="false" customHeight="false" outlineLevel="0" collapsed="false">
      <c r="A51" s="2" t="s">
        <v>85</v>
      </c>
      <c r="B51" s="7" t="n">
        <v>46031.36875</v>
      </c>
      <c r="C51" s="7" t="n">
        <v>46031.51875</v>
      </c>
      <c r="D51" s="2" t="s">
        <v>42</v>
      </c>
      <c r="E51" s="2" t="s">
        <v>23</v>
      </c>
      <c r="F51" s="2" t="s">
        <v>24</v>
      </c>
      <c r="G51" s="2" t="s">
        <v>29</v>
      </c>
      <c r="H51" s="2" t="n">
        <v>5</v>
      </c>
      <c r="I51" s="2" t="str">
        <f aca="false">IF(C51="","Open","Resolved")</f>
        <v>Resolved</v>
      </c>
      <c r="J51" s="2" t="str">
        <f aca="false">TEXT(B51,"yyyy-mm")</f>
        <v>2026-01</v>
      </c>
      <c r="K51" s="8" t="n">
        <f aca="false">IF(C51="","",ROUND((C51-B51)*24,2))</f>
        <v>3.6</v>
      </c>
      <c r="L51" s="2" t="n">
        <f aca="false">INDEX('SLA Policy'!$B$2:$B$5,MATCH(E51,'SLA Policy'!$A$2:$A$5,0))</f>
        <v>8</v>
      </c>
      <c r="M51" s="2" t="str">
        <f aca="false">IF(K51="","Open",IF(K51&lt;=L51,"Yes","No"))</f>
        <v>Yes</v>
      </c>
    </row>
    <row r="52" customFormat="false" ht="15" hidden="false" customHeight="false" outlineLevel="0" collapsed="false">
      <c r="A52" s="2" t="s">
        <v>86</v>
      </c>
      <c r="B52" s="7" t="n">
        <v>46031.3881944444</v>
      </c>
      <c r="C52" s="7" t="n">
        <v>46031.9715277778</v>
      </c>
      <c r="D52" s="2" t="s">
        <v>31</v>
      </c>
      <c r="E52" s="2" t="s">
        <v>35</v>
      </c>
      <c r="F52" s="2" t="s">
        <v>27</v>
      </c>
      <c r="G52" s="2" t="s">
        <v>33</v>
      </c>
      <c r="H52" s="2" t="n">
        <v>3</v>
      </c>
      <c r="I52" s="2" t="str">
        <f aca="false">IF(C52="","Open","Resolved")</f>
        <v>Resolved</v>
      </c>
      <c r="J52" s="2" t="str">
        <f aca="false">TEXT(B52,"yyyy-mm")</f>
        <v>2026-01</v>
      </c>
      <c r="K52" s="8" t="n">
        <f aca="false">IF(C52="","",ROUND((C52-B52)*24,2))</f>
        <v>14</v>
      </c>
      <c r="L52" s="2" t="n">
        <f aca="false">INDEX('SLA Policy'!$B$2:$B$5,MATCH(E52,'SLA Policy'!$A$2:$A$5,0))</f>
        <v>24</v>
      </c>
      <c r="M52" s="2" t="str">
        <f aca="false">IF(K52="","Open",IF(K52&lt;=L52,"Yes","No"))</f>
        <v>Yes</v>
      </c>
    </row>
    <row r="53" customFormat="false" ht="15" hidden="false" customHeight="false" outlineLevel="0" collapsed="false">
      <c r="A53" s="2" t="s">
        <v>87</v>
      </c>
      <c r="B53" s="7" t="n">
        <v>46031.4243055556</v>
      </c>
      <c r="C53" s="7" t="n">
        <v>46032.2645833333</v>
      </c>
      <c r="D53" s="2" t="s">
        <v>48</v>
      </c>
      <c r="E53" s="2" t="s">
        <v>35</v>
      </c>
      <c r="F53" s="2" t="s">
        <v>28</v>
      </c>
      <c r="G53" s="2" t="s">
        <v>25</v>
      </c>
      <c r="H53" s="2" t="n">
        <v>3</v>
      </c>
      <c r="I53" s="2" t="str">
        <f aca="false">IF(C53="","Open","Resolved")</f>
        <v>Resolved</v>
      </c>
      <c r="J53" s="2" t="str">
        <f aca="false">TEXT(B53,"yyyy-mm")</f>
        <v>2026-01</v>
      </c>
      <c r="K53" s="8" t="n">
        <f aca="false">IF(C53="","",ROUND((C53-B53)*24,2))</f>
        <v>20.17</v>
      </c>
      <c r="L53" s="2" t="n">
        <f aca="false">INDEX('SLA Policy'!$B$2:$B$5,MATCH(E53,'SLA Policy'!$A$2:$A$5,0))</f>
        <v>24</v>
      </c>
      <c r="M53" s="2" t="str">
        <f aca="false">IF(K53="","Open",IF(K53&lt;=L53,"Yes","No"))</f>
        <v>Yes</v>
      </c>
    </row>
    <row r="54" customFormat="false" ht="15" hidden="false" customHeight="false" outlineLevel="0" collapsed="false">
      <c r="A54" s="2" t="s">
        <v>88</v>
      </c>
      <c r="B54" s="7" t="n">
        <v>46031.4256944444</v>
      </c>
      <c r="C54" s="7" t="n">
        <v>46034.64375</v>
      </c>
      <c r="D54" s="2" t="s">
        <v>48</v>
      </c>
      <c r="E54" s="2" t="s">
        <v>32</v>
      </c>
      <c r="F54" s="2" t="s">
        <v>27</v>
      </c>
      <c r="G54" s="2" t="s">
        <v>25</v>
      </c>
      <c r="H54" s="2" t="n">
        <v>2</v>
      </c>
      <c r="I54" s="2" t="str">
        <f aca="false">IF(C54="","Open","Resolved")</f>
        <v>Resolved</v>
      </c>
      <c r="J54" s="2" t="str">
        <f aca="false">TEXT(B54,"yyyy-mm")</f>
        <v>2026-01</v>
      </c>
      <c r="K54" s="8" t="n">
        <f aca="false">IF(C54="","",ROUND((C54-B54)*24,2))</f>
        <v>77.23</v>
      </c>
      <c r="L54" s="2" t="n">
        <f aca="false">INDEX('SLA Policy'!$B$2:$B$5,MATCH(E54,'SLA Policy'!$A$2:$A$5,0))</f>
        <v>72</v>
      </c>
      <c r="M54" s="2" t="str">
        <f aca="false">IF(K54="","Open",IF(K54&lt;=L54,"Yes","No"))</f>
        <v>No</v>
      </c>
    </row>
    <row r="55" customFormat="false" ht="15" hidden="false" customHeight="false" outlineLevel="0" collapsed="false">
      <c r="A55" s="2" t="s">
        <v>89</v>
      </c>
      <c r="B55" s="7" t="n">
        <v>46031.4680555556</v>
      </c>
      <c r="C55" s="7" t="n">
        <v>46032.0166666667</v>
      </c>
      <c r="D55" s="2" t="s">
        <v>42</v>
      </c>
      <c r="E55" s="2" t="s">
        <v>35</v>
      </c>
      <c r="F55" s="2" t="s">
        <v>27</v>
      </c>
      <c r="G55" s="2" t="s">
        <v>29</v>
      </c>
      <c r="H55" s="2" t="n">
        <v>4</v>
      </c>
      <c r="I55" s="2" t="str">
        <f aca="false">IF(C55="","Open","Resolved")</f>
        <v>Resolved</v>
      </c>
      <c r="J55" s="2" t="str">
        <f aca="false">TEXT(B55,"yyyy-mm")</f>
        <v>2026-01</v>
      </c>
      <c r="K55" s="8" t="n">
        <f aca="false">IF(C55="","",ROUND((C55-B55)*24,2))</f>
        <v>13.17</v>
      </c>
      <c r="L55" s="2" t="n">
        <f aca="false">INDEX('SLA Policy'!$B$2:$B$5,MATCH(E55,'SLA Policy'!$A$2:$A$5,0))</f>
        <v>24</v>
      </c>
      <c r="M55" s="2" t="str">
        <f aca="false">IF(K55="","Open",IF(K55&lt;=L55,"Yes","No"))</f>
        <v>Yes</v>
      </c>
    </row>
    <row r="56" customFormat="false" ht="15" hidden="false" customHeight="false" outlineLevel="0" collapsed="false">
      <c r="A56" s="2" t="s">
        <v>90</v>
      </c>
      <c r="B56" s="7" t="n">
        <v>46031.6243055556</v>
      </c>
      <c r="C56" s="7" t="n">
        <v>46031.7576388889</v>
      </c>
      <c r="D56" s="2" t="s">
        <v>31</v>
      </c>
      <c r="E56" s="2" t="s">
        <v>23</v>
      </c>
      <c r="F56" s="2" t="s">
        <v>24</v>
      </c>
      <c r="G56" s="2" t="s">
        <v>33</v>
      </c>
      <c r="H56" s="2" t="n">
        <v>4</v>
      </c>
      <c r="I56" s="2" t="str">
        <f aca="false">IF(C56="","Open","Resolved")</f>
        <v>Resolved</v>
      </c>
      <c r="J56" s="2" t="str">
        <f aca="false">TEXT(B56,"yyyy-mm")</f>
        <v>2026-01</v>
      </c>
      <c r="K56" s="8" t="n">
        <f aca="false">IF(C56="","",ROUND((C56-B56)*24,2))</f>
        <v>3.2</v>
      </c>
      <c r="L56" s="2" t="n">
        <f aca="false">INDEX('SLA Policy'!$B$2:$B$5,MATCH(E56,'SLA Policy'!$A$2:$A$5,0))</f>
        <v>8</v>
      </c>
      <c r="M56" s="2" t="str">
        <f aca="false">IF(K56="","Open",IF(K56&lt;=L56,"Yes","No"))</f>
        <v>Yes</v>
      </c>
    </row>
    <row r="57" customFormat="false" ht="15" hidden="false" customHeight="false" outlineLevel="0" collapsed="false">
      <c r="A57" s="2" t="s">
        <v>91</v>
      </c>
      <c r="B57" s="7" t="n">
        <v>46032.34375</v>
      </c>
      <c r="C57" s="7" t="n">
        <v>46033.40625</v>
      </c>
      <c r="D57" s="2" t="s">
        <v>27</v>
      </c>
      <c r="E57" s="2" t="s">
        <v>32</v>
      </c>
      <c r="F57" s="2" t="s">
        <v>24</v>
      </c>
      <c r="G57" s="2" t="s">
        <v>29</v>
      </c>
      <c r="H57" s="2" t="n">
        <v>5</v>
      </c>
      <c r="I57" s="2" t="str">
        <f aca="false">IF(C57="","Open","Resolved")</f>
        <v>Resolved</v>
      </c>
      <c r="J57" s="2" t="str">
        <f aca="false">TEXT(B57,"yyyy-mm")</f>
        <v>2026-01</v>
      </c>
      <c r="K57" s="8" t="n">
        <f aca="false">IF(C57="","",ROUND((C57-B57)*24,2))</f>
        <v>25.5</v>
      </c>
      <c r="L57" s="2" t="n">
        <f aca="false">INDEX('SLA Policy'!$B$2:$B$5,MATCH(E57,'SLA Policy'!$A$2:$A$5,0))</f>
        <v>72</v>
      </c>
      <c r="M57" s="2" t="str">
        <f aca="false">IF(K57="","Open",IF(K57&lt;=L57,"Yes","No"))</f>
        <v>Yes</v>
      </c>
    </row>
    <row r="58" customFormat="false" ht="15" hidden="false" customHeight="false" outlineLevel="0" collapsed="false">
      <c r="A58" s="2" t="s">
        <v>92</v>
      </c>
      <c r="B58" s="7" t="n">
        <v>46032.3777777778</v>
      </c>
      <c r="C58" s="7" t="n">
        <v>46033.9493055556</v>
      </c>
      <c r="D58" s="2" t="s">
        <v>31</v>
      </c>
      <c r="E58" s="2" t="s">
        <v>32</v>
      </c>
      <c r="F58" s="2" t="s">
        <v>38</v>
      </c>
      <c r="G58" s="2" t="s">
        <v>33</v>
      </c>
      <c r="H58" s="2" t="n">
        <v>4</v>
      </c>
      <c r="I58" s="2" t="str">
        <f aca="false">IF(C58="","Open","Resolved")</f>
        <v>Resolved</v>
      </c>
      <c r="J58" s="2" t="str">
        <f aca="false">TEXT(B58,"yyyy-mm")</f>
        <v>2026-01</v>
      </c>
      <c r="K58" s="8" t="n">
        <f aca="false">IF(C58="","",ROUND((C58-B58)*24,2))</f>
        <v>37.72</v>
      </c>
      <c r="L58" s="2" t="n">
        <f aca="false">INDEX('SLA Policy'!$B$2:$B$5,MATCH(E58,'SLA Policy'!$A$2:$A$5,0))</f>
        <v>72</v>
      </c>
      <c r="M58" s="2" t="str">
        <f aca="false">IF(K58="","Open",IF(K58&lt;=L58,"Yes","No"))</f>
        <v>Yes</v>
      </c>
    </row>
    <row r="59" customFormat="false" ht="15" hidden="false" customHeight="false" outlineLevel="0" collapsed="false">
      <c r="A59" s="2" t="s">
        <v>93</v>
      </c>
      <c r="B59" s="7" t="n">
        <v>46032.4506944444</v>
      </c>
      <c r="C59" s="7" t="n">
        <v>46034.1055555556</v>
      </c>
      <c r="D59" s="2" t="s">
        <v>42</v>
      </c>
      <c r="E59" s="2" t="s">
        <v>32</v>
      </c>
      <c r="F59" s="2" t="s">
        <v>27</v>
      </c>
      <c r="G59" s="2" t="s">
        <v>29</v>
      </c>
      <c r="H59" s="2" t="n">
        <v>3</v>
      </c>
      <c r="I59" s="2" t="str">
        <f aca="false">IF(C59="","Open","Resolved")</f>
        <v>Resolved</v>
      </c>
      <c r="J59" s="2" t="str">
        <f aca="false">TEXT(B59,"yyyy-mm")</f>
        <v>2026-01</v>
      </c>
      <c r="K59" s="8" t="n">
        <f aca="false">IF(C59="","",ROUND((C59-B59)*24,2))</f>
        <v>39.72</v>
      </c>
      <c r="L59" s="2" t="n">
        <f aca="false">INDEX('SLA Policy'!$B$2:$B$5,MATCH(E59,'SLA Policy'!$A$2:$A$5,0))</f>
        <v>72</v>
      </c>
      <c r="M59" s="2" t="str">
        <f aca="false">IF(K59="","Open",IF(K59&lt;=L59,"Yes","No"))</f>
        <v>Yes</v>
      </c>
    </row>
    <row r="60" customFormat="false" ht="15" hidden="false" customHeight="false" outlineLevel="0" collapsed="false">
      <c r="A60" s="2" t="s">
        <v>94</v>
      </c>
      <c r="B60" s="7" t="n">
        <v>46032.6527777778</v>
      </c>
      <c r="C60" s="7" t="n">
        <v>46033.1930555556</v>
      </c>
      <c r="D60" s="2" t="s">
        <v>27</v>
      </c>
      <c r="E60" s="2" t="s">
        <v>35</v>
      </c>
      <c r="F60" s="2" t="s">
        <v>38</v>
      </c>
      <c r="G60" s="2" t="s">
        <v>29</v>
      </c>
      <c r="H60" s="2" t="n">
        <v>5</v>
      </c>
      <c r="I60" s="2" t="str">
        <f aca="false">IF(C60="","Open","Resolved")</f>
        <v>Resolved</v>
      </c>
      <c r="J60" s="2" t="str">
        <f aca="false">TEXT(B60,"yyyy-mm")</f>
        <v>2026-01</v>
      </c>
      <c r="K60" s="8" t="n">
        <f aca="false">IF(C60="","",ROUND((C60-B60)*24,2))</f>
        <v>12.97</v>
      </c>
      <c r="L60" s="2" t="n">
        <f aca="false">INDEX('SLA Policy'!$B$2:$B$5,MATCH(E60,'SLA Policy'!$A$2:$A$5,0))</f>
        <v>24</v>
      </c>
      <c r="M60" s="2" t="str">
        <f aca="false">IF(K60="","Open",IF(K60&lt;=L60,"Yes","No"))</f>
        <v>Yes</v>
      </c>
    </row>
    <row r="61" customFormat="false" ht="15" hidden="false" customHeight="false" outlineLevel="0" collapsed="false">
      <c r="A61" s="2" t="s">
        <v>95</v>
      </c>
      <c r="B61" s="7" t="n">
        <v>46033.5111111111</v>
      </c>
      <c r="C61" s="7" t="n">
        <v>46035.0930555556</v>
      </c>
      <c r="D61" s="2" t="s">
        <v>27</v>
      </c>
      <c r="E61" s="2" t="s">
        <v>32</v>
      </c>
      <c r="F61" s="2" t="s">
        <v>38</v>
      </c>
      <c r="G61" s="2" t="s">
        <v>29</v>
      </c>
      <c r="H61" s="2" t="n">
        <v>3</v>
      </c>
      <c r="I61" s="2" t="str">
        <f aca="false">IF(C61="","Open","Resolved")</f>
        <v>Resolved</v>
      </c>
      <c r="J61" s="2" t="str">
        <f aca="false">TEXT(B61,"yyyy-mm")</f>
        <v>2026-01</v>
      </c>
      <c r="K61" s="8" t="n">
        <f aca="false">IF(C61="","",ROUND((C61-B61)*24,2))</f>
        <v>37.97</v>
      </c>
      <c r="L61" s="2" t="n">
        <f aca="false">INDEX('SLA Policy'!$B$2:$B$5,MATCH(E61,'SLA Policy'!$A$2:$A$5,0))</f>
        <v>72</v>
      </c>
      <c r="M61" s="2" t="str">
        <f aca="false">IF(K61="","Open",IF(K61&lt;=L61,"Yes","No"))</f>
        <v>Yes</v>
      </c>
    </row>
    <row r="62" customFormat="false" ht="15" hidden="false" customHeight="false" outlineLevel="0" collapsed="false">
      <c r="A62" s="2" t="s">
        <v>96</v>
      </c>
      <c r="B62" s="7" t="n">
        <v>46033.5555555556</v>
      </c>
      <c r="C62" s="7" t="n">
        <v>46036.6479166667</v>
      </c>
      <c r="D62" s="2" t="s">
        <v>22</v>
      </c>
      <c r="E62" s="2" t="s">
        <v>35</v>
      </c>
      <c r="F62" s="2" t="s">
        <v>24</v>
      </c>
      <c r="G62" s="2" t="s">
        <v>25</v>
      </c>
      <c r="H62" s="2" t="n">
        <v>2</v>
      </c>
      <c r="I62" s="2" t="str">
        <f aca="false">IF(C62="","Open","Resolved")</f>
        <v>Resolved</v>
      </c>
      <c r="J62" s="2" t="str">
        <f aca="false">TEXT(B62,"yyyy-mm")</f>
        <v>2026-01</v>
      </c>
      <c r="K62" s="8" t="n">
        <f aca="false">IF(C62="","",ROUND((C62-B62)*24,2))</f>
        <v>74.22</v>
      </c>
      <c r="L62" s="2" t="n">
        <f aca="false">INDEX('SLA Policy'!$B$2:$B$5,MATCH(E62,'SLA Policy'!$A$2:$A$5,0))</f>
        <v>24</v>
      </c>
      <c r="M62" s="2" t="str">
        <f aca="false">IF(K62="","Open",IF(K62&lt;=L62,"Yes","No"))</f>
        <v>No</v>
      </c>
    </row>
    <row r="63" customFormat="false" ht="15" hidden="false" customHeight="false" outlineLevel="0" collapsed="false">
      <c r="A63" s="2" t="s">
        <v>97</v>
      </c>
      <c r="B63" s="7" t="n">
        <v>46033.6375</v>
      </c>
      <c r="C63" s="7" t="n">
        <v>46035.3027777778</v>
      </c>
      <c r="D63" s="2" t="s">
        <v>27</v>
      </c>
      <c r="E63" s="2" t="s">
        <v>32</v>
      </c>
      <c r="F63" s="2" t="s">
        <v>27</v>
      </c>
      <c r="G63" s="2" t="s">
        <v>29</v>
      </c>
      <c r="H63" s="2" t="n">
        <v>3</v>
      </c>
      <c r="I63" s="2" t="str">
        <f aca="false">IF(C63="","Open","Resolved")</f>
        <v>Resolved</v>
      </c>
      <c r="J63" s="2" t="str">
        <f aca="false">TEXT(B63,"yyyy-mm")</f>
        <v>2026-01</v>
      </c>
      <c r="K63" s="8" t="n">
        <f aca="false">IF(C63="","",ROUND((C63-B63)*24,2))</f>
        <v>39.97</v>
      </c>
      <c r="L63" s="2" t="n">
        <f aca="false">INDEX('SLA Policy'!$B$2:$B$5,MATCH(E63,'SLA Policy'!$A$2:$A$5,0))</f>
        <v>72</v>
      </c>
      <c r="M63" s="2" t="str">
        <f aca="false">IF(K63="","Open",IF(K63&lt;=L63,"Yes","No"))</f>
        <v>Yes</v>
      </c>
    </row>
    <row r="64" customFormat="false" ht="15" hidden="false" customHeight="false" outlineLevel="0" collapsed="false">
      <c r="A64" s="2" t="s">
        <v>98</v>
      </c>
      <c r="B64" s="7" t="n">
        <v>46033.6548611111</v>
      </c>
      <c r="C64" s="7" t="n">
        <v>46034.2</v>
      </c>
      <c r="D64" s="2" t="s">
        <v>31</v>
      </c>
      <c r="E64" s="2" t="s">
        <v>35</v>
      </c>
      <c r="F64" s="2" t="s">
        <v>24</v>
      </c>
      <c r="G64" s="2" t="s">
        <v>33</v>
      </c>
      <c r="H64" s="2" t="n">
        <v>4</v>
      </c>
      <c r="I64" s="2" t="str">
        <f aca="false">IF(C64="","Open","Resolved")</f>
        <v>Resolved</v>
      </c>
      <c r="J64" s="2" t="str">
        <f aca="false">TEXT(B64,"yyyy-mm")</f>
        <v>2026-01</v>
      </c>
      <c r="K64" s="8" t="n">
        <f aca="false">IF(C64="","",ROUND((C64-B64)*24,2))</f>
        <v>13.08</v>
      </c>
      <c r="L64" s="2" t="n">
        <f aca="false">INDEX('SLA Policy'!$B$2:$B$5,MATCH(E64,'SLA Policy'!$A$2:$A$5,0))</f>
        <v>24</v>
      </c>
      <c r="M64" s="2" t="str">
        <f aca="false">IF(K64="","Open",IF(K64&lt;=L64,"Yes","No"))</f>
        <v>Yes</v>
      </c>
    </row>
    <row r="65" customFormat="false" ht="15" hidden="false" customHeight="false" outlineLevel="0" collapsed="false">
      <c r="A65" s="2" t="s">
        <v>99</v>
      </c>
      <c r="B65" s="7" t="n">
        <v>46034.4305555556</v>
      </c>
      <c r="C65" s="7" t="n">
        <v>46034.6277777778</v>
      </c>
      <c r="D65" s="2" t="s">
        <v>42</v>
      </c>
      <c r="E65" s="2" t="s">
        <v>23</v>
      </c>
      <c r="F65" s="2" t="s">
        <v>24</v>
      </c>
      <c r="G65" s="2" t="s">
        <v>29</v>
      </c>
      <c r="H65" s="2" t="n">
        <v>5</v>
      </c>
      <c r="I65" s="2" t="str">
        <f aca="false">IF(C65="","Open","Resolved")</f>
        <v>Resolved</v>
      </c>
      <c r="J65" s="2" t="str">
        <f aca="false">TEXT(B65,"yyyy-mm")</f>
        <v>2026-01</v>
      </c>
      <c r="K65" s="8" t="n">
        <f aca="false">IF(C65="","",ROUND((C65-B65)*24,2))</f>
        <v>4.73</v>
      </c>
      <c r="L65" s="2" t="n">
        <f aca="false">INDEX('SLA Policy'!$B$2:$B$5,MATCH(E65,'SLA Policy'!$A$2:$A$5,0))</f>
        <v>8</v>
      </c>
      <c r="M65" s="2" t="str">
        <f aca="false">IF(K65="","Open",IF(K65&lt;=L65,"Yes","No"))</f>
        <v>Yes</v>
      </c>
    </row>
    <row r="66" customFormat="false" ht="15" hidden="false" customHeight="false" outlineLevel="0" collapsed="false">
      <c r="A66" s="2" t="s">
        <v>100</v>
      </c>
      <c r="B66" s="7" t="n">
        <v>46034.50625</v>
      </c>
      <c r="C66" s="7" t="n">
        <v>46036.3875</v>
      </c>
      <c r="D66" s="2" t="s">
        <v>48</v>
      </c>
      <c r="E66" s="2" t="s">
        <v>35</v>
      </c>
      <c r="F66" s="2" t="s">
        <v>27</v>
      </c>
      <c r="G66" s="2" t="s">
        <v>25</v>
      </c>
      <c r="H66" s="2" t="n">
        <v>3</v>
      </c>
      <c r="I66" s="2" t="str">
        <f aca="false">IF(C66="","Open","Resolved")</f>
        <v>Resolved</v>
      </c>
      <c r="J66" s="2" t="str">
        <f aca="false">TEXT(B66,"yyyy-mm")</f>
        <v>2026-01</v>
      </c>
      <c r="K66" s="8" t="n">
        <f aca="false">IF(C66="","",ROUND((C66-B66)*24,2))</f>
        <v>45.15</v>
      </c>
      <c r="L66" s="2" t="n">
        <f aca="false">INDEX('SLA Policy'!$B$2:$B$5,MATCH(E66,'SLA Policy'!$A$2:$A$5,0))</f>
        <v>24</v>
      </c>
      <c r="M66" s="2" t="str">
        <f aca="false">IF(K66="","Open",IF(K66&lt;=L66,"Yes","No"))</f>
        <v>No</v>
      </c>
    </row>
    <row r="67" customFormat="false" ht="15" hidden="false" customHeight="false" outlineLevel="0" collapsed="false">
      <c r="A67" s="2" t="s">
        <v>101</v>
      </c>
      <c r="B67" s="7" t="n">
        <v>46034.6118055556</v>
      </c>
      <c r="C67" s="7" t="n">
        <v>46034.6993055556</v>
      </c>
      <c r="D67" s="2" t="s">
        <v>42</v>
      </c>
      <c r="E67" s="2" t="s">
        <v>23</v>
      </c>
      <c r="F67" s="2" t="s">
        <v>38</v>
      </c>
      <c r="G67" s="2" t="s">
        <v>29</v>
      </c>
      <c r="H67" s="2" t="n">
        <v>5</v>
      </c>
      <c r="I67" s="2" t="str">
        <f aca="false">IF(C67="","Open","Resolved")</f>
        <v>Resolved</v>
      </c>
      <c r="J67" s="2" t="str">
        <f aca="false">TEXT(B67,"yyyy-mm")</f>
        <v>2026-01</v>
      </c>
      <c r="K67" s="8" t="n">
        <f aca="false">IF(C67="","",ROUND((C67-B67)*24,2))</f>
        <v>2.1</v>
      </c>
      <c r="L67" s="2" t="n">
        <f aca="false">INDEX('SLA Policy'!$B$2:$B$5,MATCH(E67,'SLA Policy'!$A$2:$A$5,0))</f>
        <v>8</v>
      </c>
      <c r="M67" s="2" t="str">
        <f aca="false">IF(K67="","Open",IF(K67&lt;=L67,"Yes","No"))</f>
        <v>Yes</v>
      </c>
    </row>
    <row r="68" customFormat="false" ht="15" hidden="false" customHeight="false" outlineLevel="0" collapsed="false">
      <c r="A68" s="2" t="s">
        <v>102</v>
      </c>
      <c r="B68" s="7" t="n">
        <v>46034.6215277778</v>
      </c>
      <c r="C68" s="7" t="n">
        <v>46036.0263888889</v>
      </c>
      <c r="D68" s="2" t="s">
        <v>31</v>
      </c>
      <c r="E68" s="2" t="s">
        <v>32</v>
      </c>
      <c r="F68" s="2" t="s">
        <v>28</v>
      </c>
      <c r="G68" s="2" t="s">
        <v>33</v>
      </c>
      <c r="H68" s="2" t="n">
        <v>4</v>
      </c>
      <c r="I68" s="2" t="str">
        <f aca="false">IF(C68="","Open","Resolved")</f>
        <v>Resolved</v>
      </c>
      <c r="J68" s="2" t="str">
        <f aca="false">TEXT(B68,"yyyy-mm")</f>
        <v>2026-01</v>
      </c>
      <c r="K68" s="8" t="n">
        <f aca="false">IF(C68="","",ROUND((C68-B68)*24,2))</f>
        <v>33.72</v>
      </c>
      <c r="L68" s="2" t="n">
        <f aca="false">INDEX('SLA Policy'!$B$2:$B$5,MATCH(E68,'SLA Policy'!$A$2:$A$5,0))</f>
        <v>72</v>
      </c>
      <c r="M68" s="2" t="str">
        <f aca="false">IF(K68="","Open",IF(K68&lt;=L68,"Yes","No"))</f>
        <v>Yes</v>
      </c>
    </row>
    <row r="69" customFormat="false" ht="15" hidden="false" customHeight="false" outlineLevel="0" collapsed="false">
      <c r="A69" s="2" t="s">
        <v>103</v>
      </c>
      <c r="B69" s="7" t="n">
        <v>46034.6486111111</v>
      </c>
      <c r="C69" s="7" t="n">
        <v>46038.6743055556</v>
      </c>
      <c r="D69" s="2" t="s">
        <v>48</v>
      </c>
      <c r="E69" s="2" t="s">
        <v>35</v>
      </c>
      <c r="F69" s="2" t="s">
        <v>28</v>
      </c>
      <c r="G69" s="2" t="s">
        <v>25</v>
      </c>
      <c r="H69" s="2" t="n">
        <v>1</v>
      </c>
      <c r="I69" s="2" t="str">
        <f aca="false">IF(C69="","Open","Resolved")</f>
        <v>Resolved</v>
      </c>
      <c r="J69" s="2" t="str">
        <f aca="false">TEXT(B69,"yyyy-mm")</f>
        <v>2026-01</v>
      </c>
      <c r="K69" s="8" t="n">
        <f aca="false">IF(C69="","",ROUND((C69-B69)*24,2))</f>
        <v>96.62</v>
      </c>
      <c r="L69" s="2" t="n">
        <f aca="false">INDEX('SLA Policy'!$B$2:$B$5,MATCH(E69,'SLA Policy'!$A$2:$A$5,0))</f>
        <v>24</v>
      </c>
      <c r="M69" s="2" t="str">
        <f aca="false">IF(K69="","Open",IF(K69&lt;=L69,"Yes","No"))</f>
        <v>No</v>
      </c>
    </row>
    <row r="70" customFormat="false" ht="15" hidden="false" customHeight="false" outlineLevel="0" collapsed="false">
      <c r="A70" s="2" t="s">
        <v>104</v>
      </c>
      <c r="B70" s="7" t="n">
        <v>46034.6680555556</v>
      </c>
      <c r="C70" s="7" t="n">
        <v>46036.4833333333</v>
      </c>
      <c r="D70" s="2" t="s">
        <v>48</v>
      </c>
      <c r="E70" s="2" t="s">
        <v>35</v>
      </c>
      <c r="F70" s="2" t="s">
        <v>38</v>
      </c>
      <c r="G70" s="2" t="s">
        <v>25</v>
      </c>
      <c r="H70" s="2" t="n">
        <v>4</v>
      </c>
      <c r="I70" s="2" t="str">
        <f aca="false">IF(C70="","Open","Resolved")</f>
        <v>Resolved</v>
      </c>
      <c r="J70" s="2" t="str">
        <f aca="false">TEXT(B70,"yyyy-mm")</f>
        <v>2026-01</v>
      </c>
      <c r="K70" s="8" t="n">
        <f aca="false">IF(C70="","",ROUND((C70-B70)*24,2))</f>
        <v>43.57</v>
      </c>
      <c r="L70" s="2" t="n">
        <f aca="false">INDEX('SLA Policy'!$B$2:$B$5,MATCH(E70,'SLA Policy'!$A$2:$A$5,0))</f>
        <v>24</v>
      </c>
      <c r="M70" s="2" t="str">
        <f aca="false">IF(K70="","Open",IF(K70&lt;=L70,"Yes","No"))</f>
        <v>No</v>
      </c>
    </row>
    <row r="71" customFormat="false" ht="15" hidden="false" customHeight="false" outlineLevel="0" collapsed="false">
      <c r="A71" s="2" t="s">
        <v>105</v>
      </c>
      <c r="B71" s="7" t="n">
        <v>46034.74375</v>
      </c>
      <c r="C71" s="7" t="n">
        <v>46035.7006944444</v>
      </c>
      <c r="D71" s="2" t="s">
        <v>31</v>
      </c>
      <c r="E71" s="2" t="s">
        <v>35</v>
      </c>
      <c r="F71" s="2" t="s">
        <v>24</v>
      </c>
      <c r="G71" s="2" t="s">
        <v>33</v>
      </c>
      <c r="H71" s="2" t="n">
        <v>3</v>
      </c>
      <c r="I71" s="2" t="str">
        <f aca="false">IF(C71="","Open","Resolved")</f>
        <v>Resolved</v>
      </c>
      <c r="J71" s="2" t="str">
        <f aca="false">TEXT(B71,"yyyy-mm")</f>
        <v>2026-01</v>
      </c>
      <c r="K71" s="8" t="n">
        <f aca="false">IF(C71="","",ROUND((C71-B71)*24,2))</f>
        <v>22.97</v>
      </c>
      <c r="L71" s="2" t="n">
        <f aca="false">INDEX('SLA Policy'!$B$2:$B$5,MATCH(E71,'SLA Policy'!$A$2:$A$5,0))</f>
        <v>24</v>
      </c>
      <c r="M71" s="2" t="str">
        <f aca="false">IF(K71="","Open",IF(K71&lt;=L71,"Yes","No"))</f>
        <v>Yes</v>
      </c>
    </row>
    <row r="72" customFormat="false" ht="15" hidden="false" customHeight="false" outlineLevel="0" collapsed="false">
      <c r="A72" s="2" t="s">
        <v>106</v>
      </c>
      <c r="B72" s="7" t="n">
        <v>46034.7618055556</v>
      </c>
      <c r="C72" s="7" t="n">
        <v>46035.0236111111</v>
      </c>
      <c r="D72" s="2" t="s">
        <v>27</v>
      </c>
      <c r="E72" s="2" t="s">
        <v>23</v>
      </c>
      <c r="F72" s="2" t="s">
        <v>24</v>
      </c>
      <c r="G72" s="2" t="s">
        <v>29</v>
      </c>
      <c r="H72" s="2" t="n">
        <v>4</v>
      </c>
      <c r="I72" s="2" t="str">
        <f aca="false">IF(C72="","Open","Resolved")</f>
        <v>Resolved</v>
      </c>
      <c r="J72" s="2" t="str">
        <f aca="false">TEXT(B72,"yyyy-mm")</f>
        <v>2026-01</v>
      </c>
      <c r="K72" s="8" t="n">
        <f aca="false">IF(C72="","",ROUND((C72-B72)*24,2))</f>
        <v>6.28</v>
      </c>
      <c r="L72" s="2" t="n">
        <f aca="false">INDEX('SLA Policy'!$B$2:$B$5,MATCH(E72,'SLA Policy'!$A$2:$A$5,0))</f>
        <v>8</v>
      </c>
      <c r="M72" s="2" t="str">
        <f aca="false">IF(K72="","Open",IF(K72&lt;=L72,"Yes","No"))</f>
        <v>Yes</v>
      </c>
    </row>
    <row r="73" customFormat="false" ht="15" hidden="false" customHeight="false" outlineLevel="0" collapsed="false">
      <c r="A73" s="2" t="s">
        <v>107</v>
      </c>
      <c r="B73" s="7" t="n">
        <v>46035.3597222222</v>
      </c>
      <c r="C73" s="7" t="n">
        <v>46036.1638888889</v>
      </c>
      <c r="D73" s="2" t="s">
        <v>31</v>
      </c>
      <c r="E73" s="2" t="s">
        <v>35</v>
      </c>
      <c r="F73" s="2" t="s">
        <v>24</v>
      </c>
      <c r="G73" s="2" t="s">
        <v>33</v>
      </c>
      <c r="H73" s="2" t="n">
        <v>4</v>
      </c>
      <c r="I73" s="2" t="str">
        <f aca="false">IF(C73="","Open","Resolved")</f>
        <v>Resolved</v>
      </c>
      <c r="J73" s="2" t="str">
        <f aca="false">TEXT(B73,"yyyy-mm")</f>
        <v>2026-01</v>
      </c>
      <c r="K73" s="8" t="n">
        <f aca="false">IF(C73="","",ROUND((C73-B73)*24,2))</f>
        <v>19.3</v>
      </c>
      <c r="L73" s="2" t="n">
        <f aca="false">INDEX('SLA Policy'!$B$2:$B$5,MATCH(E73,'SLA Policy'!$A$2:$A$5,0))</f>
        <v>24</v>
      </c>
      <c r="M73" s="2" t="str">
        <f aca="false">IF(K73="","Open",IF(K73&lt;=L73,"Yes","No"))</f>
        <v>Yes</v>
      </c>
    </row>
    <row r="74" customFormat="false" ht="15" hidden="false" customHeight="false" outlineLevel="0" collapsed="false">
      <c r="A74" s="2" t="s">
        <v>108</v>
      </c>
      <c r="B74" s="7" t="n">
        <v>46035.3819444445</v>
      </c>
      <c r="C74" s="7" t="n">
        <v>46036.4645833333</v>
      </c>
      <c r="D74" s="2" t="s">
        <v>31</v>
      </c>
      <c r="E74" s="2" t="s">
        <v>32</v>
      </c>
      <c r="F74" s="2" t="s">
        <v>38</v>
      </c>
      <c r="G74" s="2" t="s">
        <v>33</v>
      </c>
      <c r="H74" s="2" t="n">
        <v>2</v>
      </c>
      <c r="I74" s="2" t="str">
        <f aca="false">IF(C74="","Open","Resolved")</f>
        <v>Resolved</v>
      </c>
      <c r="J74" s="2" t="str">
        <f aca="false">TEXT(B74,"yyyy-mm")</f>
        <v>2026-01</v>
      </c>
      <c r="K74" s="8" t="n">
        <f aca="false">IF(C74="","",ROUND((C74-B74)*24,2))</f>
        <v>25.98</v>
      </c>
      <c r="L74" s="2" t="n">
        <f aca="false">INDEX('SLA Policy'!$B$2:$B$5,MATCH(E74,'SLA Policy'!$A$2:$A$5,0))</f>
        <v>72</v>
      </c>
      <c r="M74" s="2" t="str">
        <f aca="false">IF(K74="","Open",IF(K74&lt;=L74,"Yes","No"))</f>
        <v>Yes</v>
      </c>
    </row>
    <row r="75" customFormat="false" ht="15" hidden="false" customHeight="false" outlineLevel="0" collapsed="false">
      <c r="A75" s="2" t="s">
        <v>109</v>
      </c>
      <c r="B75" s="7" t="n">
        <v>46035.4333333333</v>
      </c>
      <c r="C75" s="7" t="n">
        <v>46037.0055555556</v>
      </c>
      <c r="D75" s="2" t="s">
        <v>48</v>
      </c>
      <c r="E75" s="2" t="s">
        <v>35</v>
      </c>
      <c r="F75" s="2" t="s">
        <v>24</v>
      </c>
      <c r="G75" s="2" t="s">
        <v>25</v>
      </c>
      <c r="H75" s="2" t="n">
        <v>4</v>
      </c>
      <c r="I75" s="2" t="str">
        <f aca="false">IF(C75="","Open","Resolved")</f>
        <v>Resolved</v>
      </c>
      <c r="J75" s="2" t="str">
        <f aca="false">TEXT(B75,"yyyy-mm")</f>
        <v>2026-01</v>
      </c>
      <c r="K75" s="8" t="n">
        <f aca="false">IF(C75="","",ROUND((C75-B75)*24,2))</f>
        <v>37.73</v>
      </c>
      <c r="L75" s="2" t="n">
        <f aca="false">INDEX('SLA Policy'!$B$2:$B$5,MATCH(E75,'SLA Policy'!$A$2:$A$5,0))</f>
        <v>24</v>
      </c>
      <c r="M75" s="2" t="str">
        <f aca="false">IF(K75="","Open",IF(K75&lt;=L75,"Yes","No"))</f>
        <v>No</v>
      </c>
    </row>
    <row r="76" customFormat="false" ht="15" hidden="false" customHeight="false" outlineLevel="0" collapsed="false">
      <c r="A76" s="2" t="s">
        <v>110</v>
      </c>
      <c r="B76" s="7" t="n">
        <v>46035.6631944445</v>
      </c>
      <c r="C76" s="7" t="n">
        <v>46036.6993055556</v>
      </c>
      <c r="D76" s="2" t="s">
        <v>42</v>
      </c>
      <c r="E76" s="2" t="s">
        <v>32</v>
      </c>
      <c r="F76" s="2" t="s">
        <v>27</v>
      </c>
      <c r="G76" s="2" t="s">
        <v>29</v>
      </c>
      <c r="H76" s="2" t="n">
        <v>5</v>
      </c>
      <c r="I76" s="2" t="str">
        <f aca="false">IF(C76="","Open","Resolved")</f>
        <v>Resolved</v>
      </c>
      <c r="J76" s="2" t="str">
        <f aca="false">TEXT(B76,"yyyy-mm")</f>
        <v>2026-01</v>
      </c>
      <c r="K76" s="8" t="n">
        <f aca="false">IF(C76="","",ROUND((C76-B76)*24,2))</f>
        <v>24.87</v>
      </c>
      <c r="L76" s="2" t="n">
        <f aca="false">INDEX('SLA Policy'!$B$2:$B$5,MATCH(E76,'SLA Policy'!$A$2:$A$5,0))</f>
        <v>72</v>
      </c>
      <c r="M76" s="2" t="str">
        <f aca="false">IF(K76="","Open",IF(K76&lt;=L76,"Yes","No"))</f>
        <v>Yes</v>
      </c>
    </row>
    <row r="77" customFormat="false" ht="15" hidden="false" customHeight="false" outlineLevel="0" collapsed="false">
      <c r="A77" s="2" t="s">
        <v>111</v>
      </c>
      <c r="B77" s="7" t="n">
        <v>46035.7076388889</v>
      </c>
      <c r="C77" s="7" t="n">
        <v>46036.69375</v>
      </c>
      <c r="D77" s="2" t="s">
        <v>22</v>
      </c>
      <c r="E77" s="2" t="s">
        <v>35</v>
      </c>
      <c r="F77" s="2" t="s">
        <v>24</v>
      </c>
      <c r="G77" s="2" t="s">
        <v>25</v>
      </c>
      <c r="H77" s="2" t="n">
        <v>5</v>
      </c>
      <c r="I77" s="2" t="str">
        <f aca="false">IF(C77="","Open","Resolved")</f>
        <v>Resolved</v>
      </c>
      <c r="J77" s="2" t="str">
        <f aca="false">TEXT(B77,"yyyy-mm")</f>
        <v>2026-01</v>
      </c>
      <c r="K77" s="8" t="n">
        <f aca="false">IF(C77="","",ROUND((C77-B77)*24,2))</f>
        <v>23.67</v>
      </c>
      <c r="L77" s="2" t="n">
        <f aca="false">INDEX('SLA Policy'!$B$2:$B$5,MATCH(E77,'SLA Policy'!$A$2:$A$5,0))</f>
        <v>24</v>
      </c>
      <c r="M77" s="2" t="str">
        <f aca="false">IF(K77="","Open",IF(K77&lt;=L77,"Yes","No"))</f>
        <v>Yes</v>
      </c>
    </row>
    <row r="78" customFormat="false" ht="15" hidden="false" customHeight="false" outlineLevel="0" collapsed="false">
      <c r="A78" s="2" t="s">
        <v>112</v>
      </c>
      <c r="B78" s="7" t="n">
        <v>46036.5194444444</v>
      </c>
      <c r="C78" s="7" t="n">
        <v>46036.6361111111</v>
      </c>
      <c r="D78" s="2" t="s">
        <v>31</v>
      </c>
      <c r="E78" s="2" t="s">
        <v>40</v>
      </c>
      <c r="F78" s="2" t="s">
        <v>24</v>
      </c>
      <c r="G78" s="2" t="s">
        <v>33</v>
      </c>
      <c r="H78" s="2" t="n">
        <v>5</v>
      </c>
      <c r="I78" s="2" t="str">
        <f aca="false">IF(C78="","Open","Resolved")</f>
        <v>Resolved</v>
      </c>
      <c r="J78" s="2" t="str">
        <f aca="false">TEXT(B78,"yyyy-mm")</f>
        <v>2026-01</v>
      </c>
      <c r="K78" s="8" t="n">
        <f aca="false">IF(C78="","",ROUND((C78-B78)*24,2))</f>
        <v>2.8</v>
      </c>
      <c r="L78" s="2" t="n">
        <f aca="false">INDEX('SLA Policy'!$B$2:$B$5,MATCH(E78,'SLA Policy'!$A$2:$A$5,0))</f>
        <v>4</v>
      </c>
      <c r="M78" s="2" t="str">
        <f aca="false">IF(K78="","Open",IF(K78&lt;=L78,"Yes","No"))</f>
        <v>Yes</v>
      </c>
    </row>
    <row r="79" customFormat="false" ht="15" hidden="false" customHeight="false" outlineLevel="0" collapsed="false">
      <c r="A79" s="2" t="s">
        <v>113</v>
      </c>
      <c r="B79" s="7" t="n">
        <v>46036.525</v>
      </c>
      <c r="C79" s="7" t="n">
        <v>46036.8951388889</v>
      </c>
      <c r="D79" s="2" t="s">
        <v>42</v>
      </c>
      <c r="E79" s="2" t="s">
        <v>35</v>
      </c>
      <c r="F79" s="2" t="s">
        <v>24</v>
      </c>
      <c r="G79" s="2" t="s">
        <v>29</v>
      </c>
      <c r="H79" s="2" t="n">
        <v>5</v>
      </c>
      <c r="I79" s="2" t="str">
        <f aca="false">IF(C79="","Open","Resolved")</f>
        <v>Resolved</v>
      </c>
      <c r="J79" s="2" t="str">
        <f aca="false">TEXT(B79,"yyyy-mm")</f>
        <v>2026-01</v>
      </c>
      <c r="K79" s="8" t="n">
        <f aca="false">IF(C79="","",ROUND((C79-B79)*24,2))</f>
        <v>8.88</v>
      </c>
      <c r="L79" s="2" t="n">
        <f aca="false">INDEX('SLA Policy'!$B$2:$B$5,MATCH(E79,'SLA Policy'!$A$2:$A$5,0))</f>
        <v>24</v>
      </c>
      <c r="M79" s="2" t="str">
        <f aca="false">IF(K79="","Open",IF(K79&lt;=L79,"Yes","No"))</f>
        <v>Yes</v>
      </c>
    </row>
    <row r="80" customFormat="false" ht="15" hidden="false" customHeight="false" outlineLevel="0" collapsed="false">
      <c r="A80" s="2" t="s">
        <v>114</v>
      </c>
      <c r="B80" s="7" t="n">
        <v>46036.6381944444</v>
      </c>
      <c r="C80" s="7" t="n">
        <v>46037.6493055556</v>
      </c>
      <c r="D80" s="2" t="s">
        <v>22</v>
      </c>
      <c r="E80" s="2" t="s">
        <v>35</v>
      </c>
      <c r="F80" s="2" t="s">
        <v>38</v>
      </c>
      <c r="G80" s="2" t="s">
        <v>25</v>
      </c>
      <c r="H80" s="2" t="n">
        <v>4</v>
      </c>
      <c r="I80" s="2" t="str">
        <f aca="false">IF(C80="","Open","Resolved")</f>
        <v>Resolved</v>
      </c>
      <c r="J80" s="2" t="str">
        <f aca="false">TEXT(B80,"yyyy-mm")</f>
        <v>2026-01</v>
      </c>
      <c r="K80" s="8" t="n">
        <f aca="false">IF(C80="","",ROUND((C80-B80)*24,2))</f>
        <v>24.27</v>
      </c>
      <c r="L80" s="2" t="n">
        <f aca="false">INDEX('SLA Policy'!$B$2:$B$5,MATCH(E80,'SLA Policy'!$A$2:$A$5,0))</f>
        <v>24</v>
      </c>
      <c r="M80" s="2" t="str">
        <f aca="false">IF(K80="","Open",IF(K80&lt;=L80,"Yes","No"))</f>
        <v>No</v>
      </c>
    </row>
    <row r="81" customFormat="false" ht="15" hidden="false" customHeight="false" outlineLevel="0" collapsed="false">
      <c r="A81" s="2" t="s">
        <v>115</v>
      </c>
      <c r="B81" s="7" t="n">
        <v>46036.7256944445</v>
      </c>
      <c r="C81" s="7" t="n">
        <v>46037.0701388889</v>
      </c>
      <c r="D81" s="2" t="s">
        <v>22</v>
      </c>
      <c r="E81" s="2" t="s">
        <v>23</v>
      </c>
      <c r="F81" s="2" t="s">
        <v>27</v>
      </c>
      <c r="G81" s="2" t="s">
        <v>25</v>
      </c>
      <c r="H81" s="2" t="n">
        <v>4</v>
      </c>
      <c r="I81" s="2" t="str">
        <f aca="false">IF(C81="","Open","Resolved")</f>
        <v>Resolved</v>
      </c>
      <c r="J81" s="2" t="str">
        <f aca="false">TEXT(B81,"yyyy-mm")</f>
        <v>2026-01</v>
      </c>
      <c r="K81" s="8" t="n">
        <f aca="false">IF(C81="","",ROUND((C81-B81)*24,2))</f>
        <v>8.27</v>
      </c>
      <c r="L81" s="2" t="n">
        <f aca="false">INDEX('SLA Policy'!$B$2:$B$5,MATCH(E81,'SLA Policy'!$A$2:$A$5,0))</f>
        <v>8</v>
      </c>
      <c r="M81" s="2" t="str">
        <f aca="false">IF(K81="","Open",IF(K81&lt;=L81,"Yes","No"))</f>
        <v>No</v>
      </c>
    </row>
    <row r="82" customFormat="false" ht="15" hidden="false" customHeight="false" outlineLevel="0" collapsed="false">
      <c r="A82" s="2" t="s">
        <v>116</v>
      </c>
      <c r="B82" s="7" t="n">
        <v>46036.7708333333</v>
      </c>
      <c r="C82" s="7" t="n">
        <v>46037.3</v>
      </c>
      <c r="D82" s="2" t="s">
        <v>42</v>
      </c>
      <c r="E82" s="2" t="s">
        <v>35</v>
      </c>
      <c r="F82" s="2" t="s">
        <v>28</v>
      </c>
      <c r="G82" s="2" t="s">
        <v>29</v>
      </c>
      <c r="H82" s="2" t="n">
        <v>5</v>
      </c>
      <c r="I82" s="2" t="str">
        <f aca="false">IF(C82="","Open","Resolved")</f>
        <v>Resolved</v>
      </c>
      <c r="J82" s="2" t="str">
        <f aca="false">TEXT(B82,"yyyy-mm")</f>
        <v>2026-01</v>
      </c>
      <c r="K82" s="8" t="n">
        <f aca="false">IF(C82="","",ROUND((C82-B82)*24,2))</f>
        <v>12.7</v>
      </c>
      <c r="L82" s="2" t="n">
        <f aca="false">INDEX('SLA Policy'!$B$2:$B$5,MATCH(E82,'SLA Policy'!$A$2:$A$5,0))</f>
        <v>24</v>
      </c>
      <c r="M82" s="2" t="str">
        <f aca="false">IF(K82="","Open",IF(K82&lt;=L82,"Yes","No"))</f>
        <v>Yes</v>
      </c>
    </row>
    <row r="83" customFormat="false" ht="15" hidden="false" customHeight="false" outlineLevel="0" collapsed="false">
      <c r="A83" s="2" t="s">
        <v>117</v>
      </c>
      <c r="B83" s="7" t="n">
        <v>46037.3333333333</v>
      </c>
      <c r="C83" s="7" t="n">
        <v>46038.3020833333</v>
      </c>
      <c r="D83" s="2" t="s">
        <v>42</v>
      </c>
      <c r="E83" s="2" t="s">
        <v>35</v>
      </c>
      <c r="F83" s="2" t="s">
        <v>24</v>
      </c>
      <c r="G83" s="2" t="s">
        <v>29</v>
      </c>
      <c r="H83" s="2" t="n">
        <v>3</v>
      </c>
      <c r="I83" s="2" t="str">
        <f aca="false">IF(C83="","Open","Resolved")</f>
        <v>Resolved</v>
      </c>
      <c r="J83" s="2" t="str">
        <f aca="false">TEXT(B83,"yyyy-mm")</f>
        <v>2026-01</v>
      </c>
      <c r="K83" s="8" t="n">
        <f aca="false">IF(C83="","",ROUND((C83-B83)*24,2))</f>
        <v>23.25</v>
      </c>
      <c r="L83" s="2" t="n">
        <f aca="false">INDEX('SLA Policy'!$B$2:$B$5,MATCH(E83,'SLA Policy'!$A$2:$A$5,0))</f>
        <v>24</v>
      </c>
      <c r="M83" s="2" t="str">
        <f aca="false">IF(K83="","Open",IF(K83&lt;=L83,"Yes","No"))</f>
        <v>Yes</v>
      </c>
    </row>
    <row r="84" customFormat="false" ht="15" hidden="false" customHeight="false" outlineLevel="0" collapsed="false">
      <c r="A84" s="2" t="s">
        <v>118</v>
      </c>
      <c r="B84" s="7" t="n">
        <v>46037.5979166667</v>
      </c>
      <c r="C84" s="7" t="n">
        <v>46038.9965277778</v>
      </c>
      <c r="D84" s="2" t="s">
        <v>42</v>
      </c>
      <c r="E84" s="2" t="s">
        <v>32</v>
      </c>
      <c r="F84" s="2" t="s">
        <v>27</v>
      </c>
      <c r="G84" s="2" t="s">
        <v>29</v>
      </c>
      <c r="H84" s="2" t="n">
        <v>4</v>
      </c>
      <c r="I84" s="2" t="str">
        <f aca="false">IF(C84="","Open","Resolved")</f>
        <v>Resolved</v>
      </c>
      <c r="J84" s="2" t="str">
        <f aca="false">TEXT(B84,"yyyy-mm")</f>
        <v>2026-01</v>
      </c>
      <c r="K84" s="8" t="n">
        <f aca="false">IF(C84="","",ROUND((C84-B84)*24,2))</f>
        <v>33.57</v>
      </c>
      <c r="L84" s="2" t="n">
        <f aca="false">INDEX('SLA Policy'!$B$2:$B$5,MATCH(E84,'SLA Policy'!$A$2:$A$5,0))</f>
        <v>72</v>
      </c>
      <c r="M84" s="2" t="str">
        <f aca="false">IF(K84="","Open",IF(K84&lt;=L84,"Yes","No"))</f>
        <v>Yes</v>
      </c>
    </row>
    <row r="85" customFormat="false" ht="15" hidden="false" customHeight="false" outlineLevel="0" collapsed="false">
      <c r="A85" s="2" t="s">
        <v>119</v>
      </c>
      <c r="B85" s="7" t="n">
        <v>46038.3777777778</v>
      </c>
      <c r="C85" s="7" t="n">
        <v>46038.4756944445</v>
      </c>
      <c r="D85" s="2" t="s">
        <v>42</v>
      </c>
      <c r="E85" s="2" t="s">
        <v>40</v>
      </c>
      <c r="F85" s="2" t="s">
        <v>24</v>
      </c>
      <c r="G85" s="2" t="s">
        <v>29</v>
      </c>
      <c r="H85" s="2" t="n">
        <v>4</v>
      </c>
      <c r="I85" s="2" t="str">
        <f aca="false">IF(C85="","Open","Resolved")</f>
        <v>Resolved</v>
      </c>
      <c r="J85" s="2" t="str">
        <f aca="false">TEXT(B85,"yyyy-mm")</f>
        <v>2026-01</v>
      </c>
      <c r="K85" s="8" t="n">
        <f aca="false">IF(C85="","",ROUND((C85-B85)*24,2))</f>
        <v>2.35</v>
      </c>
      <c r="L85" s="2" t="n">
        <f aca="false">INDEX('SLA Policy'!$B$2:$B$5,MATCH(E85,'SLA Policy'!$A$2:$A$5,0))</f>
        <v>4</v>
      </c>
      <c r="M85" s="2" t="str">
        <f aca="false">IF(K85="","Open",IF(K85&lt;=L85,"Yes","No"))</f>
        <v>Yes</v>
      </c>
    </row>
    <row r="86" customFormat="false" ht="15" hidden="false" customHeight="false" outlineLevel="0" collapsed="false">
      <c r="A86" s="2" t="s">
        <v>120</v>
      </c>
      <c r="B86" s="7" t="n">
        <v>46038.5340277778</v>
      </c>
      <c r="C86" s="7" t="n">
        <v>46038.9875</v>
      </c>
      <c r="D86" s="2" t="s">
        <v>48</v>
      </c>
      <c r="E86" s="2" t="s">
        <v>23</v>
      </c>
      <c r="F86" s="2" t="s">
        <v>38</v>
      </c>
      <c r="G86" s="2" t="s">
        <v>25</v>
      </c>
      <c r="H86" s="2" t="n">
        <v>5</v>
      </c>
      <c r="I86" s="2" t="str">
        <f aca="false">IF(C86="","Open","Resolved")</f>
        <v>Resolved</v>
      </c>
      <c r="J86" s="2" t="str">
        <f aca="false">TEXT(B86,"yyyy-mm")</f>
        <v>2026-01</v>
      </c>
      <c r="K86" s="8" t="n">
        <f aca="false">IF(C86="","",ROUND((C86-B86)*24,2))</f>
        <v>10.88</v>
      </c>
      <c r="L86" s="2" t="n">
        <f aca="false">INDEX('SLA Policy'!$B$2:$B$5,MATCH(E86,'SLA Policy'!$A$2:$A$5,0))</f>
        <v>8</v>
      </c>
      <c r="M86" s="2" t="str">
        <f aca="false">IF(K86="","Open",IF(K86&lt;=L86,"Yes","No"))</f>
        <v>No</v>
      </c>
    </row>
    <row r="87" customFormat="false" ht="15" hidden="false" customHeight="false" outlineLevel="0" collapsed="false">
      <c r="A87" s="2" t="s">
        <v>121</v>
      </c>
      <c r="B87" s="7" t="n">
        <v>46038.5354166667</v>
      </c>
      <c r="C87" s="7" t="n">
        <v>46038.7548611111</v>
      </c>
      <c r="D87" s="2" t="s">
        <v>42</v>
      </c>
      <c r="E87" s="2" t="s">
        <v>32</v>
      </c>
      <c r="F87" s="2" t="s">
        <v>24</v>
      </c>
      <c r="G87" s="2" t="s">
        <v>29</v>
      </c>
      <c r="H87" s="2" t="n">
        <v>5</v>
      </c>
      <c r="I87" s="2" t="str">
        <f aca="false">IF(C87="","Open","Resolved")</f>
        <v>Resolved</v>
      </c>
      <c r="J87" s="2" t="str">
        <f aca="false">TEXT(B87,"yyyy-mm")</f>
        <v>2026-01</v>
      </c>
      <c r="K87" s="8" t="n">
        <f aca="false">IF(C87="","",ROUND((C87-B87)*24,2))</f>
        <v>5.27</v>
      </c>
      <c r="L87" s="2" t="n">
        <f aca="false">INDEX('SLA Policy'!$B$2:$B$5,MATCH(E87,'SLA Policy'!$A$2:$A$5,0))</f>
        <v>72</v>
      </c>
      <c r="M87" s="2" t="str">
        <f aca="false">IF(K87="","Open",IF(K87&lt;=L87,"Yes","No"))</f>
        <v>Yes</v>
      </c>
    </row>
    <row r="88" customFormat="false" ht="15" hidden="false" customHeight="false" outlineLevel="0" collapsed="false">
      <c r="A88" s="2" t="s">
        <v>122</v>
      </c>
      <c r="B88" s="7" t="n">
        <v>46039.40625</v>
      </c>
      <c r="C88" s="7" t="n">
        <v>46040.0541666667</v>
      </c>
      <c r="D88" s="2" t="s">
        <v>31</v>
      </c>
      <c r="E88" s="2" t="s">
        <v>35</v>
      </c>
      <c r="F88" s="2" t="s">
        <v>24</v>
      </c>
      <c r="G88" s="2" t="s">
        <v>33</v>
      </c>
      <c r="H88" s="2" t="n">
        <v>5</v>
      </c>
      <c r="I88" s="2" t="str">
        <f aca="false">IF(C88="","Open","Resolved")</f>
        <v>Resolved</v>
      </c>
      <c r="J88" s="2" t="str">
        <f aca="false">TEXT(B88,"yyyy-mm")</f>
        <v>2026-01</v>
      </c>
      <c r="K88" s="8" t="n">
        <f aca="false">IF(C88="","",ROUND((C88-B88)*24,2))</f>
        <v>15.55</v>
      </c>
      <c r="L88" s="2" t="n">
        <f aca="false">INDEX('SLA Policy'!$B$2:$B$5,MATCH(E88,'SLA Policy'!$A$2:$A$5,0))</f>
        <v>24</v>
      </c>
      <c r="M88" s="2" t="str">
        <f aca="false">IF(K88="","Open",IF(K88&lt;=L88,"Yes","No"))</f>
        <v>Yes</v>
      </c>
    </row>
    <row r="89" customFormat="false" ht="15" hidden="false" customHeight="false" outlineLevel="0" collapsed="false">
      <c r="A89" s="2" t="s">
        <v>123</v>
      </c>
      <c r="B89" s="7" t="n">
        <v>46039.5298611111</v>
      </c>
      <c r="C89" s="7" t="n">
        <v>46039.6576388889</v>
      </c>
      <c r="D89" s="2" t="s">
        <v>42</v>
      </c>
      <c r="E89" s="2" t="s">
        <v>23</v>
      </c>
      <c r="F89" s="2" t="s">
        <v>27</v>
      </c>
      <c r="G89" s="2" t="s">
        <v>29</v>
      </c>
      <c r="H89" s="2" t="n">
        <v>4</v>
      </c>
      <c r="I89" s="2" t="str">
        <f aca="false">IF(C89="","Open","Resolved")</f>
        <v>Resolved</v>
      </c>
      <c r="J89" s="2" t="str">
        <f aca="false">TEXT(B89,"yyyy-mm")</f>
        <v>2026-01</v>
      </c>
      <c r="K89" s="8" t="n">
        <f aca="false">IF(C89="","",ROUND((C89-B89)*24,2))</f>
        <v>3.07</v>
      </c>
      <c r="L89" s="2" t="n">
        <f aca="false">INDEX('SLA Policy'!$B$2:$B$5,MATCH(E89,'SLA Policy'!$A$2:$A$5,0))</f>
        <v>8</v>
      </c>
      <c r="M89" s="2" t="str">
        <f aca="false">IF(K89="","Open",IF(K89&lt;=L89,"Yes","No"))</f>
        <v>Yes</v>
      </c>
    </row>
    <row r="90" customFormat="false" ht="15" hidden="false" customHeight="false" outlineLevel="0" collapsed="false">
      <c r="A90" s="2" t="s">
        <v>124</v>
      </c>
      <c r="B90" s="7" t="n">
        <v>46039.7666666667</v>
      </c>
      <c r="C90" s="7" t="n">
        <v>46039.9208333333</v>
      </c>
      <c r="D90" s="2" t="s">
        <v>42</v>
      </c>
      <c r="E90" s="2" t="s">
        <v>35</v>
      </c>
      <c r="F90" s="2" t="s">
        <v>38</v>
      </c>
      <c r="G90" s="2" t="s">
        <v>29</v>
      </c>
      <c r="H90" s="2" t="n">
        <v>5</v>
      </c>
      <c r="I90" s="2" t="str">
        <f aca="false">IF(C90="","Open","Resolved")</f>
        <v>Resolved</v>
      </c>
      <c r="J90" s="2" t="str">
        <f aca="false">TEXT(B90,"yyyy-mm")</f>
        <v>2026-01</v>
      </c>
      <c r="K90" s="8" t="n">
        <f aca="false">IF(C90="","",ROUND((C90-B90)*24,2))</f>
        <v>3.7</v>
      </c>
      <c r="L90" s="2" t="n">
        <f aca="false">INDEX('SLA Policy'!$B$2:$B$5,MATCH(E90,'SLA Policy'!$A$2:$A$5,0))</f>
        <v>24</v>
      </c>
      <c r="M90" s="2" t="str">
        <f aca="false">IF(K90="","Open",IF(K90&lt;=L90,"Yes","No"))</f>
        <v>Yes</v>
      </c>
    </row>
    <row r="91" customFormat="false" ht="15" hidden="false" customHeight="false" outlineLevel="0" collapsed="false">
      <c r="A91" s="2" t="s">
        <v>125</v>
      </c>
      <c r="B91" s="7" t="n">
        <v>46040.3645833333</v>
      </c>
      <c r="C91" s="7" t="n">
        <v>46041.8895833333</v>
      </c>
      <c r="D91" s="2" t="s">
        <v>27</v>
      </c>
      <c r="E91" s="2" t="s">
        <v>32</v>
      </c>
      <c r="F91" s="2" t="s">
        <v>24</v>
      </c>
      <c r="G91" s="2" t="s">
        <v>29</v>
      </c>
      <c r="H91" s="2" t="n">
        <v>5</v>
      </c>
      <c r="I91" s="2" t="str">
        <f aca="false">IF(C91="","Open","Resolved")</f>
        <v>Resolved</v>
      </c>
      <c r="J91" s="2" t="str">
        <f aca="false">TEXT(B91,"yyyy-mm")</f>
        <v>2026-01</v>
      </c>
      <c r="K91" s="8" t="n">
        <f aca="false">IF(C91="","",ROUND((C91-B91)*24,2))</f>
        <v>36.6</v>
      </c>
      <c r="L91" s="2" t="n">
        <f aca="false">INDEX('SLA Policy'!$B$2:$B$5,MATCH(E91,'SLA Policy'!$A$2:$A$5,0))</f>
        <v>72</v>
      </c>
      <c r="M91" s="2" t="str">
        <f aca="false">IF(K91="","Open",IF(K91&lt;=L91,"Yes","No"))</f>
        <v>Yes</v>
      </c>
    </row>
    <row r="92" customFormat="false" ht="15" hidden="false" customHeight="false" outlineLevel="0" collapsed="false">
      <c r="A92" s="2" t="s">
        <v>126</v>
      </c>
      <c r="B92" s="7" t="n">
        <v>46040.3888888889</v>
      </c>
      <c r="C92" s="7" t="n">
        <v>46041.8993055556</v>
      </c>
      <c r="D92" s="2" t="s">
        <v>31</v>
      </c>
      <c r="E92" s="2" t="s">
        <v>32</v>
      </c>
      <c r="F92" s="2" t="s">
        <v>24</v>
      </c>
      <c r="G92" s="2" t="s">
        <v>33</v>
      </c>
      <c r="H92" s="2" t="n">
        <v>3</v>
      </c>
      <c r="I92" s="2" t="str">
        <f aca="false">IF(C92="","Open","Resolved")</f>
        <v>Resolved</v>
      </c>
      <c r="J92" s="2" t="str">
        <f aca="false">TEXT(B92,"yyyy-mm")</f>
        <v>2026-01</v>
      </c>
      <c r="K92" s="8" t="n">
        <f aca="false">IF(C92="","",ROUND((C92-B92)*24,2))</f>
        <v>36.25</v>
      </c>
      <c r="L92" s="2" t="n">
        <f aca="false">INDEX('SLA Policy'!$B$2:$B$5,MATCH(E92,'SLA Policy'!$A$2:$A$5,0))</f>
        <v>72</v>
      </c>
      <c r="M92" s="2" t="str">
        <f aca="false">IF(K92="","Open",IF(K92&lt;=L92,"Yes","No"))</f>
        <v>Yes</v>
      </c>
    </row>
    <row r="93" customFormat="false" ht="15" hidden="false" customHeight="false" outlineLevel="0" collapsed="false">
      <c r="A93" s="2" t="s">
        <v>127</v>
      </c>
      <c r="B93" s="7" t="n">
        <v>46040.65</v>
      </c>
      <c r="C93" s="7" t="n">
        <v>46040.8256944444</v>
      </c>
      <c r="D93" s="2" t="s">
        <v>42</v>
      </c>
      <c r="E93" s="2" t="s">
        <v>32</v>
      </c>
      <c r="F93" s="2" t="s">
        <v>24</v>
      </c>
      <c r="G93" s="2" t="s">
        <v>29</v>
      </c>
      <c r="H93" s="2" t="n">
        <v>5</v>
      </c>
      <c r="I93" s="2" t="str">
        <f aca="false">IF(C93="","Open","Resolved")</f>
        <v>Resolved</v>
      </c>
      <c r="J93" s="2" t="str">
        <f aca="false">TEXT(B93,"yyyy-mm")</f>
        <v>2026-01</v>
      </c>
      <c r="K93" s="8" t="n">
        <f aca="false">IF(C93="","",ROUND((C93-B93)*24,2))</f>
        <v>4.22</v>
      </c>
      <c r="L93" s="2" t="n">
        <f aca="false">INDEX('SLA Policy'!$B$2:$B$5,MATCH(E93,'SLA Policy'!$A$2:$A$5,0))</f>
        <v>72</v>
      </c>
      <c r="M93" s="2" t="str">
        <f aca="false">IF(K93="","Open",IF(K93&lt;=L93,"Yes","No"))</f>
        <v>Yes</v>
      </c>
    </row>
    <row r="94" customFormat="false" ht="15" hidden="false" customHeight="false" outlineLevel="0" collapsed="false">
      <c r="A94" s="2" t="s">
        <v>128</v>
      </c>
      <c r="B94" s="7" t="n">
        <v>46041.3069444444</v>
      </c>
      <c r="C94" s="7" t="n">
        <v>46042.5166666667</v>
      </c>
      <c r="D94" s="2" t="s">
        <v>31</v>
      </c>
      <c r="E94" s="2" t="s">
        <v>35</v>
      </c>
      <c r="F94" s="2" t="s">
        <v>27</v>
      </c>
      <c r="G94" s="2" t="s">
        <v>33</v>
      </c>
      <c r="H94" s="2" t="n">
        <v>3</v>
      </c>
      <c r="I94" s="2" t="str">
        <f aca="false">IF(C94="","Open","Resolved")</f>
        <v>Resolved</v>
      </c>
      <c r="J94" s="2" t="str">
        <f aca="false">TEXT(B94,"yyyy-mm")</f>
        <v>2026-01</v>
      </c>
      <c r="K94" s="8" t="n">
        <f aca="false">IF(C94="","",ROUND((C94-B94)*24,2))</f>
        <v>29.03</v>
      </c>
      <c r="L94" s="2" t="n">
        <f aca="false">INDEX('SLA Policy'!$B$2:$B$5,MATCH(E94,'SLA Policy'!$A$2:$A$5,0))</f>
        <v>24</v>
      </c>
      <c r="M94" s="2" t="str">
        <f aca="false">IF(K94="","Open",IF(K94&lt;=L94,"Yes","No"))</f>
        <v>No</v>
      </c>
    </row>
    <row r="95" customFormat="false" ht="15" hidden="false" customHeight="false" outlineLevel="0" collapsed="false">
      <c r="A95" s="2" t="s">
        <v>129</v>
      </c>
      <c r="B95" s="7" t="n">
        <v>46041.3763888889</v>
      </c>
      <c r="C95" s="7" t="n">
        <v>46043.8729166667</v>
      </c>
      <c r="D95" s="2" t="s">
        <v>31</v>
      </c>
      <c r="E95" s="2" t="s">
        <v>32</v>
      </c>
      <c r="F95" s="2" t="s">
        <v>27</v>
      </c>
      <c r="G95" s="2" t="s">
        <v>33</v>
      </c>
      <c r="H95" s="2" t="n">
        <v>2</v>
      </c>
      <c r="I95" s="2" t="str">
        <f aca="false">IF(C95="","Open","Resolved")</f>
        <v>Resolved</v>
      </c>
      <c r="J95" s="2" t="str">
        <f aca="false">TEXT(B95,"yyyy-mm")</f>
        <v>2026-01</v>
      </c>
      <c r="K95" s="8" t="n">
        <f aca="false">IF(C95="","",ROUND((C95-B95)*24,2))</f>
        <v>59.92</v>
      </c>
      <c r="L95" s="2" t="n">
        <f aca="false">INDEX('SLA Policy'!$B$2:$B$5,MATCH(E95,'SLA Policy'!$A$2:$A$5,0))</f>
        <v>72</v>
      </c>
      <c r="M95" s="2" t="str">
        <f aca="false">IF(K95="","Open",IF(K95&lt;=L95,"Yes","No"))</f>
        <v>Yes</v>
      </c>
    </row>
    <row r="96" customFormat="false" ht="15" hidden="false" customHeight="false" outlineLevel="0" collapsed="false">
      <c r="A96" s="2" t="s">
        <v>130</v>
      </c>
      <c r="B96" s="7" t="n">
        <v>46041.4034722222</v>
      </c>
      <c r="C96" s="7" t="n">
        <v>46041.6784722222</v>
      </c>
      <c r="D96" s="2" t="s">
        <v>42</v>
      </c>
      <c r="E96" s="2" t="s">
        <v>32</v>
      </c>
      <c r="F96" s="2" t="s">
        <v>38</v>
      </c>
      <c r="G96" s="2" t="s">
        <v>29</v>
      </c>
      <c r="H96" s="2" t="n">
        <v>5</v>
      </c>
      <c r="I96" s="2" t="str">
        <f aca="false">IF(C96="","Open","Resolved")</f>
        <v>Resolved</v>
      </c>
      <c r="J96" s="2" t="str">
        <f aca="false">TEXT(B96,"yyyy-mm")</f>
        <v>2026-01</v>
      </c>
      <c r="K96" s="8" t="n">
        <f aca="false">IF(C96="","",ROUND((C96-B96)*24,2))</f>
        <v>6.6</v>
      </c>
      <c r="L96" s="2" t="n">
        <f aca="false">INDEX('SLA Policy'!$B$2:$B$5,MATCH(E96,'SLA Policy'!$A$2:$A$5,0))</f>
        <v>72</v>
      </c>
      <c r="M96" s="2" t="str">
        <f aca="false">IF(K96="","Open",IF(K96&lt;=L96,"Yes","No"))</f>
        <v>Yes</v>
      </c>
    </row>
    <row r="97" customFormat="false" ht="15" hidden="false" customHeight="false" outlineLevel="0" collapsed="false">
      <c r="A97" s="2" t="s">
        <v>131</v>
      </c>
      <c r="B97" s="7" t="n">
        <v>46041.4645833333</v>
      </c>
      <c r="C97" s="7" t="n">
        <v>46043.9895833333</v>
      </c>
      <c r="D97" s="2" t="s">
        <v>31</v>
      </c>
      <c r="E97" s="2" t="s">
        <v>32</v>
      </c>
      <c r="F97" s="2" t="s">
        <v>24</v>
      </c>
      <c r="G97" s="2" t="s">
        <v>33</v>
      </c>
      <c r="H97" s="2" t="n">
        <v>3</v>
      </c>
      <c r="I97" s="2" t="str">
        <f aca="false">IF(C97="","Open","Resolved")</f>
        <v>Resolved</v>
      </c>
      <c r="J97" s="2" t="str">
        <f aca="false">TEXT(B97,"yyyy-mm")</f>
        <v>2026-01</v>
      </c>
      <c r="K97" s="8" t="n">
        <f aca="false">IF(C97="","",ROUND((C97-B97)*24,2))</f>
        <v>60.6</v>
      </c>
      <c r="L97" s="2" t="n">
        <f aca="false">INDEX('SLA Policy'!$B$2:$B$5,MATCH(E97,'SLA Policy'!$A$2:$A$5,0))</f>
        <v>72</v>
      </c>
      <c r="M97" s="2" t="str">
        <f aca="false">IF(K97="","Open",IF(K97&lt;=L97,"Yes","No"))</f>
        <v>Yes</v>
      </c>
    </row>
    <row r="98" customFormat="false" ht="15" hidden="false" customHeight="false" outlineLevel="0" collapsed="false">
      <c r="A98" s="2" t="s">
        <v>132</v>
      </c>
      <c r="B98" s="7" t="n">
        <v>46041.625</v>
      </c>
      <c r="C98" s="7" t="n">
        <v>46042.6375</v>
      </c>
      <c r="D98" s="2" t="s">
        <v>42</v>
      </c>
      <c r="E98" s="2" t="s">
        <v>32</v>
      </c>
      <c r="F98" s="2" t="s">
        <v>24</v>
      </c>
      <c r="G98" s="2" t="s">
        <v>29</v>
      </c>
      <c r="H98" s="2" t="n">
        <v>4</v>
      </c>
      <c r="I98" s="2" t="str">
        <f aca="false">IF(C98="","Open","Resolved")</f>
        <v>Resolved</v>
      </c>
      <c r="J98" s="2" t="str">
        <f aca="false">TEXT(B98,"yyyy-mm")</f>
        <v>2026-01</v>
      </c>
      <c r="K98" s="8" t="n">
        <f aca="false">IF(C98="","",ROUND((C98-B98)*24,2))</f>
        <v>24.3</v>
      </c>
      <c r="L98" s="2" t="n">
        <f aca="false">INDEX('SLA Policy'!$B$2:$B$5,MATCH(E98,'SLA Policy'!$A$2:$A$5,0))</f>
        <v>72</v>
      </c>
      <c r="M98" s="2" t="str">
        <f aca="false">IF(K98="","Open",IF(K98&lt;=L98,"Yes","No"))</f>
        <v>Yes</v>
      </c>
    </row>
    <row r="99" customFormat="false" ht="15" hidden="false" customHeight="false" outlineLevel="0" collapsed="false">
      <c r="A99" s="2" t="s">
        <v>133</v>
      </c>
      <c r="B99" s="7" t="n">
        <v>46041.725</v>
      </c>
      <c r="C99" s="7" t="n">
        <v>46042.8770833333</v>
      </c>
      <c r="D99" s="2" t="s">
        <v>31</v>
      </c>
      <c r="E99" s="2" t="s">
        <v>35</v>
      </c>
      <c r="F99" s="2" t="s">
        <v>38</v>
      </c>
      <c r="G99" s="2" t="s">
        <v>33</v>
      </c>
      <c r="H99" s="2" t="n">
        <v>5</v>
      </c>
      <c r="I99" s="2" t="str">
        <f aca="false">IF(C99="","Open","Resolved")</f>
        <v>Resolved</v>
      </c>
      <c r="J99" s="2" t="str">
        <f aca="false">TEXT(B99,"yyyy-mm")</f>
        <v>2026-01</v>
      </c>
      <c r="K99" s="8" t="n">
        <f aca="false">IF(C99="","",ROUND((C99-B99)*24,2))</f>
        <v>27.65</v>
      </c>
      <c r="L99" s="2" t="n">
        <f aca="false">INDEX('SLA Policy'!$B$2:$B$5,MATCH(E99,'SLA Policy'!$A$2:$A$5,0))</f>
        <v>24</v>
      </c>
      <c r="M99" s="2" t="str">
        <f aca="false">IF(K99="","Open",IF(K99&lt;=L99,"Yes","No"))</f>
        <v>No</v>
      </c>
    </row>
    <row r="100" customFormat="false" ht="15" hidden="false" customHeight="false" outlineLevel="0" collapsed="false">
      <c r="A100" s="2" t="s">
        <v>134</v>
      </c>
      <c r="B100" s="7" t="n">
        <v>46041.7847222222</v>
      </c>
      <c r="C100" s="7" t="n">
        <v>46042.8972222222</v>
      </c>
      <c r="D100" s="2" t="s">
        <v>31</v>
      </c>
      <c r="E100" s="2" t="s">
        <v>35</v>
      </c>
      <c r="F100" s="2" t="s">
        <v>24</v>
      </c>
      <c r="G100" s="2" t="s">
        <v>33</v>
      </c>
      <c r="H100" s="2" t="n">
        <v>4</v>
      </c>
      <c r="I100" s="2" t="str">
        <f aca="false">IF(C100="","Open","Resolved")</f>
        <v>Resolved</v>
      </c>
      <c r="J100" s="2" t="str">
        <f aca="false">TEXT(B100,"yyyy-mm")</f>
        <v>2026-01</v>
      </c>
      <c r="K100" s="8" t="n">
        <f aca="false">IF(C100="","",ROUND((C100-B100)*24,2))</f>
        <v>26.7</v>
      </c>
      <c r="L100" s="2" t="n">
        <f aca="false">INDEX('SLA Policy'!$B$2:$B$5,MATCH(E100,'SLA Policy'!$A$2:$A$5,0))</f>
        <v>24</v>
      </c>
      <c r="M100" s="2" t="str">
        <f aca="false">IF(K100="","Open",IF(K100&lt;=L100,"Yes","No"))</f>
        <v>No</v>
      </c>
    </row>
    <row r="101" customFormat="false" ht="15" hidden="false" customHeight="false" outlineLevel="0" collapsed="false">
      <c r="A101" s="2" t="s">
        <v>135</v>
      </c>
      <c r="B101" s="7" t="n">
        <v>46042.3229166667</v>
      </c>
      <c r="C101" s="7" t="n">
        <v>46042.79375</v>
      </c>
      <c r="D101" s="2" t="s">
        <v>31</v>
      </c>
      <c r="E101" s="2" t="s">
        <v>35</v>
      </c>
      <c r="F101" s="2" t="s">
        <v>27</v>
      </c>
      <c r="G101" s="2" t="s">
        <v>33</v>
      </c>
      <c r="H101" s="2" t="n">
        <v>4</v>
      </c>
      <c r="I101" s="2" t="str">
        <f aca="false">IF(C101="","Open","Resolved")</f>
        <v>Resolved</v>
      </c>
      <c r="J101" s="2" t="str">
        <f aca="false">TEXT(B101,"yyyy-mm")</f>
        <v>2026-01</v>
      </c>
      <c r="K101" s="8" t="n">
        <f aca="false">IF(C101="","",ROUND((C101-B101)*24,2))</f>
        <v>11.3</v>
      </c>
      <c r="L101" s="2" t="n">
        <f aca="false">INDEX('SLA Policy'!$B$2:$B$5,MATCH(E101,'SLA Policy'!$A$2:$A$5,0))</f>
        <v>24</v>
      </c>
      <c r="M101" s="2" t="str">
        <f aca="false">IF(K101="","Open",IF(K101&lt;=L101,"Yes","No"))</f>
        <v>Yes</v>
      </c>
    </row>
    <row r="102" customFormat="false" ht="15" hidden="false" customHeight="false" outlineLevel="0" collapsed="false">
      <c r="A102" s="2" t="s">
        <v>136</v>
      </c>
      <c r="B102" s="7" t="n">
        <v>46042.3743055556</v>
      </c>
      <c r="C102" s="7" t="n">
        <v>46045.5847222222</v>
      </c>
      <c r="D102" s="2" t="s">
        <v>22</v>
      </c>
      <c r="E102" s="2" t="s">
        <v>32</v>
      </c>
      <c r="F102" s="2" t="s">
        <v>24</v>
      </c>
      <c r="G102" s="2" t="s">
        <v>25</v>
      </c>
      <c r="H102" s="2" t="n">
        <v>3</v>
      </c>
      <c r="I102" s="2" t="str">
        <f aca="false">IF(C102="","Open","Resolved")</f>
        <v>Resolved</v>
      </c>
      <c r="J102" s="2" t="str">
        <f aca="false">TEXT(B102,"yyyy-mm")</f>
        <v>2026-01</v>
      </c>
      <c r="K102" s="8" t="n">
        <f aca="false">IF(C102="","",ROUND((C102-B102)*24,2))</f>
        <v>77.05</v>
      </c>
      <c r="L102" s="2" t="n">
        <f aca="false">INDEX('SLA Policy'!$B$2:$B$5,MATCH(E102,'SLA Policy'!$A$2:$A$5,0))</f>
        <v>72</v>
      </c>
      <c r="M102" s="2" t="str">
        <f aca="false">IF(K102="","Open",IF(K102&lt;=L102,"Yes","No"))</f>
        <v>No</v>
      </c>
    </row>
    <row r="103" customFormat="false" ht="15" hidden="false" customHeight="false" outlineLevel="0" collapsed="false">
      <c r="A103" s="2" t="s">
        <v>137</v>
      </c>
      <c r="B103" s="7" t="n">
        <v>46042.4173611111</v>
      </c>
      <c r="C103" s="7" t="n">
        <v>46042.84375</v>
      </c>
      <c r="D103" s="2" t="s">
        <v>22</v>
      </c>
      <c r="E103" s="2" t="s">
        <v>23</v>
      </c>
      <c r="F103" s="2" t="s">
        <v>27</v>
      </c>
      <c r="G103" s="2" t="s">
        <v>25</v>
      </c>
      <c r="H103" s="2" t="n">
        <v>5</v>
      </c>
      <c r="I103" s="2" t="str">
        <f aca="false">IF(C103="","Open","Resolved")</f>
        <v>Resolved</v>
      </c>
      <c r="J103" s="2" t="str">
        <f aca="false">TEXT(B103,"yyyy-mm")</f>
        <v>2026-01</v>
      </c>
      <c r="K103" s="8" t="n">
        <f aca="false">IF(C103="","",ROUND((C103-B103)*24,2))</f>
        <v>10.23</v>
      </c>
      <c r="L103" s="2" t="n">
        <f aca="false">INDEX('SLA Policy'!$B$2:$B$5,MATCH(E103,'SLA Policy'!$A$2:$A$5,0))</f>
        <v>8</v>
      </c>
      <c r="M103" s="2" t="str">
        <f aca="false">IF(K103="","Open",IF(K103&lt;=L103,"Yes","No"))</f>
        <v>No</v>
      </c>
    </row>
    <row r="104" customFormat="false" ht="15" hidden="false" customHeight="false" outlineLevel="0" collapsed="false">
      <c r="A104" s="2" t="s">
        <v>138</v>
      </c>
      <c r="B104" s="7" t="n">
        <v>46042.4270833333</v>
      </c>
      <c r="C104" s="7" t="n">
        <v>46044.6777777778</v>
      </c>
      <c r="D104" s="2" t="s">
        <v>48</v>
      </c>
      <c r="E104" s="2" t="s">
        <v>32</v>
      </c>
      <c r="F104" s="2" t="s">
        <v>27</v>
      </c>
      <c r="G104" s="2" t="s">
        <v>25</v>
      </c>
      <c r="H104" s="2" t="n">
        <v>3</v>
      </c>
      <c r="I104" s="2" t="str">
        <f aca="false">IF(C104="","Open","Resolved")</f>
        <v>Resolved</v>
      </c>
      <c r="J104" s="2" t="str">
        <f aca="false">TEXT(B104,"yyyy-mm")</f>
        <v>2026-01</v>
      </c>
      <c r="K104" s="8" t="n">
        <f aca="false">IF(C104="","",ROUND((C104-B104)*24,2))</f>
        <v>54.02</v>
      </c>
      <c r="L104" s="2" t="n">
        <f aca="false">INDEX('SLA Policy'!$B$2:$B$5,MATCH(E104,'SLA Policy'!$A$2:$A$5,0))</f>
        <v>72</v>
      </c>
      <c r="M104" s="2" t="str">
        <f aca="false">IF(K104="","Open",IF(K104&lt;=L104,"Yes","No"))</f>
        <v>Yes</v>
      </c>
    </row>
    <row r="105" customFormat="false" ht="15" hidden="false" customHeight="false" outlineLevel="0" collapsed="false">
      <c r="A105" s="2" t="s">
        <v>139</v>
      </c>
      <c r="B105" s="7" t="n">
        <v>46042.4784722222</v>
      </c>
      <c r="C105" s="7" t="n">
        <v>46044.06875</v>
      </c>
      <c r="D105" s="2" t="s">
        <v>48</v>
      </c>
      <c r="E105" s="2" t="s">
        <v>35</v>
      </c>
      <c r="F105" s="2" t="s">
        <v>38</v>
      </c>
      <c r="G105" s="2" t="s">
        <v>25</v>
      </c>
      <c r="H105" s="2" t="n">
        <v>3</v>
      </c>
      <c r="I105" s="2" t="str">
        <f aca="false">IF(C105="","Open","Resolved")</f>
        <v>Resolved</v>
      </c>
      <c r="J105" s="2" t="str">
        <f aca="false">TEXT(B105,"yyyy-mm")</f>
        <v>2026-01</v>
      </c>
      <c r="K105" s="8" t="n">
        <f aca="false">IF(C105="","",ROUND((C105-B105)*24,2))</f>
        <v>38.17</v>
      </c>
      <c r="L105" s="2" t="n">
        <f aca="false">INDEX('SLA Policy'!$B$2:$B$5,MATCH(E105,'SLA Policy'!$A$2:$A$5,0))</f>
        <v>24</v>
      </c>
      <c r="M105" s="2" t="str">
        <f aca="false">IF(K105="","Open",IF(K105&lt;=L105,"Yes","No"))</f>
        <v>No</v>
      </c>
    </row>
    <row r="106" customFormat="false" ht="15" hidden="false" customHeight="false" outlineLevel="0" collapsed="false">
      <c r="A106" s="2" t="s">
        <v>140</v>
      </c>
      <c r="B106" s="7" t="n">
        <v>46042.4965277778</v>
      </c>
      <c r="C106" s="7" t="n">
        <v>46043.5180555556</v>
      </c>
      <c r="D106" s="2" t="s">
        <v>42</v>
      </c>
      <c r="E106" s="2" t="s">
        <v>32</v>
      </c>
      <c r="F106" s="2" t="s">
        <v>27</v>
      </c>
      <c r="G106" s="2" t="s">
        <v>29</v>
      </c>
      <c r="H106" s="2" t="n">
        <v>3</v>
      </c>
      <c r="I106" s="2" t="str">
        <f aca="false">IF(C106="","Open","Resolved")</f>
        <v>Resolved</v>
      </c>
      <c r="J106" s="2" t="str">
        <f aca="false">TEXT(B106,"yyyy-mm")</f>
        <v>2026-01</v>
      </c>
      <c r="K106" s="8" t="n">
        <f aca="false">IF(C106="","",ROUND((C106-B106)*24,2))</f>
        <v>24.52</v>
      </c>
      <c r="L106" s="2" t="n">
        <f aca="false">INDEX('SLA Policy'!$B$2:$B$5,MATCH(E106,'SLA Policy'!$A$2:$A$5,0))</f>
        <v>72</v>
      </c>
      <c r="M106" s="2" t="str">
        <f aca="false">IF(K106="","Open",IF(K106&lt;=L106,"Yes","No"))</f>
        <v>Yes</v>
      </c>
    </row>
    <row r="107" customFormat="false" ht="15" hidden="false" customHeight="false" outlineLevel="0" collapsed="false">
      <c r="A107" s="2" t="s">
        <v>141</v>
      </c>
      <c r="B107" s="7" t="n">
        <v>46042.5631944445</v>
      </c>
      <c r="C107" s="7" t="n">
        <v>46042.7618055556</v>
      </c>
      <c r="D107" s="2" t="s">
        <v>31</v>
      </c>
      <c r="E107" s="2" t="s">
        <v>40</v>
      </c>
      <c r="F107" s="2" t="s">
        <v>38</v>
      </c>
      <c r="G107" s="2" t="s">
        <v>33</v>
      </c>
      <c r="H107" s="2" t="n">
        <v>4</v>
      </c>
      <c r="I107" s="2" t="str">
        <f aca="false">IF(C107="","Open","Resolved")</f>
        <v>Resolved</v>
      </c>
      <c r="J107" s="2" t="str">
        <f aca="false">TEXT(B107,"yyyy-mm")</f>
        <v>2026-01</v>
      </c>
      <c r="K107" s="8" t="n">
        <f aca="false">IF(C107="","",ROUND((C107-B107)*24,2))</f>
        <v>4.77</v>
      </c>
      <c r="L107" s="2" t="n">
        <f aca="false">INDEX('SLA Policy'!$B$2:$B$5,MATCH(E107,'SLA Policy'!$A$2:$A$5,0))</f>
        <v>4</v>
      </c>
      <c r="M107" s="2" t="str">
        <f aca="false">IF(K107="","Open",IF(K107&lt;=L107,"Yes","No"))</f>
        <v>No</v>
      </c>
    </row>
    <row r="108" customFormat="false" ht="15" hidden="false" customHeight="false" outlineLevel="0" collapsed="false">
      <c r="A108" s="2" t="s">
        <v>142</v>
      </c>
      <c r="B108" s="7" t="n">
        <v>46042.6555555556</v>
      </c>
      <c r="C108" s="7" t="n">
        <v>46043.4951388889</v>
      </c>
      <c r="D108" s="2" t="s">
        <v>22</v>
      </c>
      <c r="E108" s="2" t="s">
        <v>35</v>
      </c>
      <c r="F108" s="2" t="s">
        <v>24</v>
      </c>
      <c r="G108" s="2" t="s">
        <v>25</v>
      </c>
      <c r="H108" s="2" t="n">
        <v>4</v>
      </c>
      <c r="I108" s="2" t="str">
        <f aca="false">IF(C108="","Open","Resolved")</f>
        <v>Resolved</v>
      </c>
      <c r="J108" s="2" t="str">
        <f aca="false">TEXT(B108,"yyyy-mm")</f>
        <v>2026-01</v>
      </c>
      <c r="K108" s="8" t="n">
        <f aca="false">IF(C108="","",ROUND((C108-B108)*24,2))</f>
        <v>20.15</v>
      </c>
      <c r="L108" s="2" t="n">
        <f aca="false">INDEX('SLA Policy'!$B$2:$B$5,MATCH(E108,'SLA Policy'!$A$2:$A$5,0))</f>
        <v>24</v>
      </c>
      <c r="M108" s="2" t="str">
        <f aca="false">IF(K108="","Open",IF(K108&lt;=L108,"Yes","No"))</f>
        <v>Yes</v>
      </c>
    </row>
    <row r="109" customFormat="false" ht="15" hidden="false" customHeight="false" outlineLevel="0" collapsed="false">
      <c r="A109" s="2" t="s">
        <v>143</v>
      </c>
      <c r="B109" s="7" t="n">
        <v>46042.7569444445</v>
      </c>
      <c r="C109" s="7" t="n">
        <v>46043.3618055556</v>
      </c>
      <c r="D109" s="2" t="s">
        <v>22</v>
      </c>
      <c r="E109" s="2" t="s">
        <v>35</v>
      </c>
      <c r="F109" s="2" t="s">
        <v>24</v>
      </c>
      <c r="G109" s="2" t="s">
        <v>25</v>
      </c>
      <c r="H109" s="2" t="n">
        <v>5</v>
      </c>
      <c r="I109" s="2" t="str">
        <f aca="false">IF(C109="","Open","Resolved")</f>
        <v>Resolved</v>
      </c>
      <c r="J109" s="2" t="str">
        <f aca="false">TEXT(B109,"yyyy-mm")</f>
        <v>2026-01</v>
      </c>
      <c r="K109" s="8" t="n">
        <f aca="false">IF(C109="","",ROUND((C109-B109)*24,2))</f>
        <v>14.52</v>
      </c>
      <c r="L109" s="2" t="n">
        <f aca="false">INDEX('SLA Policy'!$B$2:$B$5,MATCH(E109,'SLA Policy'!$A$2:$A$5,0))</f>
        <v>24</v>
      </c>
      <c r="M109" s="2" t="str">
        <f aca="false">IF(K109="","Open",IF(K109&lt;=L109,"Yes","No"))</f>
        <v>Yes</v>
      </c>
    </row>
    <row r="110" customFormat="false" ht="15" hidden="false" customHeight="false" outlineLevel="0" collapsed="false">
      <c r="A110" s="2" t="s">
        <v>144</v>
      </c>
      <c r="B110" s="7" t="n">
        <v>46042.7833333333</v>
      </c>
      <c r="C110" s="7" t="n">
        <v>46043.2006944444</v>
      </c>
      <c r="D110" s="2" t="s">
        <v>31</v>
      </c>
      <c r="E110" s="2" t="s">
        <v>35</v>
      </c>
      <c r="F110" s="2" t="s">
        <v>28</v>
      </c>
      <c r="G110" s="2" t="s">
        <v>33</v>
      </c>
      <c r="H110" s="2" t="n">
        <v>5</v>
      </c>
      <c r="I110" s="2" t="str">
        <f aca="false">IF(C110="","Open","Resolved")</f>
        <v>Resolved</v>
      </c>
      <c r="J110" s="2" t="str">
        <f aca="false">TEXT(B110,"yyyy-mm")</f>
        <v>2026-01</v>
      </c>
      <c r="K110" s="8" t="n">
        <f aca="false">IF(C110="","",ROUND((C110-B110)*24,2))</f>
        <v>10.02</v>
      </c>
      <c r="L110" s="2" t="n">
        <f aca="false">INDEX('SLA Policy'!$B$2:$B$5,MATCH(E110,'SLA Policy'!$A$2:$A$5,0))</f>
        <v>24</v>
      </c>
      <c r="M110" s="2" t="str">
        <f aca="false">IF(K110="","Open",IF(K110&lt;=L110,"Yes","No"))</f>
        <v>Yes</v>
      </c>
    </row>
    <row r="111" customFormat="false" ht="15" hidden="false" customHeight="false" outlineLevel="0" collapsed="false">
      <c r="A111" s="2" t="s">
        <v>145</v>
      </c>
      <c r="B111" s="7" t="n">
        <v>46043.3472222222</v>
      </c>
      <c r="C111" s="7" t="n">
        <v>46044.6298611111</v>
      </c>
      <c r="D111" s="2" t="s">
        <v>42</v>
      </c>
      <c r="E111" s="2" t="s">
        <v>32</v>
      </c>
      <c r="F111" s="2" t="s">
        <v>38</v>
      </c>
      <c r="G111" s="2" t="s">
        <v>29</v>
      </c>
      <c r="H111" s="2" t="n">
        <v>4</v>
      </c>
      <c r="I111" s="2" t="str">
        <f aca="false">IF(C111="","Open","Resolved")</f>
        <v>Resolved</v>
      </c>
      <c r="J111" s="2" t="str">
        <f aca="false">TEXT(B111,"yyyy-mm")</f>
        <v>2026-01</v>
      </c>
      <c r="K111" s="8" t="n">
        <f aca="false">IF(C111="","",ROUND((C111-B111)*24,2))</f>
        <v>30.78</v>
      </c>
      <c r="L111" s="2" t="n">
        <f aca="false">INDEX('SLA Policy'!$B$2:$B$5,MATCH(E111,'SLA Policy'!$A$2:$A$5,0))</f>
        <v>72</v>
      </c>
      <c r="M111" s="2" t="str">
        <f aca="false">IF(K111="","Open",IF(K111&lt;=L111,"Yes","No"))</f>
        <v>Yes</v>
      </c>
    </row>
    <row r="112" customFormat="false" ht="15" hidden="false" customHeight="false" outlineLevel="0" collapsed="false">
      <c r="A112" s="2" t="s">
        <v>146</v>
      </c>
      <c r="B112" s="7" t="n">
        <v>46043.3701388889</v>
      </c>
      <c r="C112" s="7" t="n">
        <v>46043.8305555556</v>
      </c>
      <c r="D112" s="2" t="s">
        <v>27</v>
      </c>
      <c r="E112" s="2" t="s">
        <v>35</v>
      </c>
      <c r="F112" s="2" t="s">
        <v>24</v>
      </c>
      <c r="G112" s="2" t="s">
        <v>29</v>
      </c>
      <c r="H112" s="2" t="n">
        <v>4</v>
      </c>
      <c r="I112" s="2" t="str">
        <f aca="false">IF(C112="","Open","Resolved")</f>
        <v>Resolved</v>
      </c>
      <c r="J112" s="2" t="str">
        <f aca="false">TEXT(B112,"yyyy-mm")</f>
        <v>2026-01</v>
      </c>
      <c r="K112" s="8" t="n">
        <f aca="false">IF(C112="","",ROUND((C112-B112)*24,2))</f>
        <v>11.05</v>
      </c>
      <c r="L112" s="2" t="n">
        <f aca="false">INDEX('SLA Policy'!$B$2:$B$5,MATCH(E112,'SLA Policy'!$A$2:$A$5,0))</f>
        <v>24</v>
      </c>
      <c r="M112" s="2" t="str">
        <f aca="false">IF(K112="","Open",IF(K112&lt;=L112,"Yes","No"))</f>
        <v>Yes</v>
      </c>
    </row>
    <row r="113" customFormat="false" ht="15" hidden="false" customHeight="false" outlineLevel="0" collapsed="false">
      <c r="A113" s="2" t="s">
        <v>147</v>
      </c>
      <c r="B113" s="7" t="n">
        <v>46043.4173611111</v>
      </c>
      <c r="C113" s="7" t="n">
        <v>46044.2881944445</v>
      </c>
      <c r="D113" s="2" t="s">
        <v>48</v>
      </c>
      <c r="E113" s="2" t="s">
        <v>35</v>
      </c>
      <c r="F113" s="2" t="s">
        <v>27</v>
      </c>
      <c r="G113" s="2" t="s">
        <v>25</v>
      </c>
      <c r="H113" s="2" t="n">
        <v>4</v>
      </c>
      <c r="I113" s="2" t="str">
        <f aca="false">IF(C113="","Open","Resolved")</f>
        <v>Resolved</v>
      </c>
      <c r="J113" s="2" t="str">
        <f aca="false">TEXT(B113,"yyyy-mm")</f>
        <v>2026-01</v>
      </c>
      <c r="K113" s="8" t="n">
        <f aca="false">IF(C113="","",ROUND((C113-B113)*24,2))</f>
        <v>20.9</v>
      </c>
      <c r="L113" s="2" t="n">
        <f aca="false">INDEX('SLA Policy'!$B$2:$B$5,MATCH(E113,'SLA Policy'!$A$2:$A$5,0))</f>
        <v>24</v>
      </c>
      <c r="M113" s="2" t="str">
        <f aca="false">IF(K113="","Open",IF(K113&lt;=L113,"Yes","No"))</f>
        <v>Yes</v>
      </c>
    </row>
    <row r="114" customFormat="false" ht="15" hidden="false" customHeight="false" outlineLevel="0" collapsed="false">
      <c r="A114" s="2" t="s">
        <v>148</v>
      </c>
      <c r="B114" s="7" t="n">
        <v>46043.5083333333</v>
      </c>
      <c r="C114" s="7" t="n">
        <v>46043.8152777778</v>
      </c>
      <c r="D114" s="2" t="s">
        <v>27</v>
      </c>
      <c r="E114" s="2" t="s">
        <v>35</v>
      </c>
      <c r="F114" s="2" t="s">
        <v>28</v>
      </c>
      <c r="G114" s="2" t="s">
        <v>29</v>
      </c>
      <c r="H114" s="2" t="n">
        <v>5</v>
      </c>
      <c r="I114" s="2" t="str">
        <f aca="false">IF(C114="","Open","Resolved")</f>
        <v>Resolved</v>
      </c>
      <c r="J114" s="2" t="str">
        <f aca="false">TEXT(B114,"yyyy-mm")</f>
        <v>2026-01</v>
      </c>
      <c r="K114" s="8" t="n">
        <f aca="false">IF(C114="","",ROUND((C114-B114)*24,2))</f>
        <v>7.37</v>
      </c>
      <c r="L114" s="2" t="n">
        <f aca="false">INDEX('SLA Policy'!$B$2:$B$5,MATCH(E114,'SLA Policy'!$A$2:$A$5,0))</f>
        <v>24</v>
      </c>
      <c r="M114" s="2" t="str">
        <f aca="false">IF(K114="","Open",IF(K114&lt;=L114,"Yes","No"))</f>
        <v>Yes</v>
      </c>
    </row>
    <row r="115" customFormat="false" ht="15" hidden="false" customHeight="false" outlineLevel="0" collapsed="false">
      <c r="A115" s="2" t="s">
        <v>149</v>
      </c>
      <c r="B115" s="7" t="n">
        <v>46043.5402777778</v>
      </c>
      <c r="C115" s="7" t="n">
        <v>46044.7013888889</v>
      </c>
      <c r="D115" s="2" t="s">
        <v>31</v>
      </c>
      <c r="E115" s="2" t="s">
        <v>35</v>
      </c>
      <c r="F115" s="2" t="s">
        <v>38</v>
      </c>
      <c r="G115" s="2" t="s">
        <v>33</v>
      </c>
      <c r="H115" s="2" t="n">
        <v>4</v>
      </c>
      <c r="I115" s="2" t="str">
        <f aca="false">IF(C115="","Open","Resolved")</f>
        <v>Resolved</v>
      </c>
      <c r="J115" s="2" t="str">
        <f aca="false">TEXT(B115,"yyyy-mm")</f>
        <v>2026-01</v>
      </c>
      <c r="K115" s="8" t="n">
        <f aca="false">IF(C115="","",ROUND((C115-B115)*24,2))</f>
        <v>27.87</v>
      </c>
      <c r="L115" s="2" t="n">
        <f aca="false">INDEX('SLA Policy'!$B$2:$B$5,MATCH(E115,'SLA Policy'!$A$2:$A$5,0))</f>
        <v>24</v>
      </c>
      <c r="M115" s="2" t="str">
        <f aca="false">IF(K115="","Open",IF(K115&lt;=L115,"Yes","No"))</f>
        <v>No</v>
      </c>
    </row>
    <row r="116" customFormat="false" ht="15" hidden="false" customHeight="false" outlineLevel="0" collapsed="false">
      <c r="A116" s="2" t="s">
        <v>150</v>
      </c>
      <c r="B116" s="7" t="n">
        <v>46043.5597222222</v>
      </c>
      <c r="C116" s="7" t="n">
        <v>46043.7097222222</v>
      </c>
      <c r="D116" s="2" t="s">
        <v>31</v>
      </c>
      <c r="E116" s="2" t="s">
        <v>23</v>
      </c>
      <c r="F116" s="2" t="s">
        <v>38</v>
      </c>
      <c r="G116" s="2" t="s">
        <v>33</v>
      </c>
      <c r="H116" s="2" t="n">
        <v>5</v>
      </c>
      <c r="I116" s="2" t="str">
        <f aca="false">IF(C116="","Open","Resolved")</f>
        <v>Resolved</v>
      </c>
      <c r="J116" s="2" t="str">
        <f aca="false">TEXT(B116,"yyyy-mm")</f>
        <v>2026-01</v>
      </c>
      <c r="K116" s="8" t="n">
        <f aca="false">IF(C116="","",ROUND((C116-B116)*24,2))</f>
        <v>3.6</v>
      </c>
      <c r="L116" s="2" t="n">
        <f aca="false">INDEX('SLA Policy'!$B$2:$B$5,MATCH(E116,'SLA Policy'!$A$2:$A$5,0))</f>
        <v>8</v>
      </c>
      <c r="M116" s="2" t="str">
        <f aca="false">IF(K116="","Open",IF(K116&lt;=L116,"Yes","No"))</f>
        <v>Yes</v>
      </c>
    </row>
    <row r="117" customFormat="false" ht="15" hidden="false" customHeight="false" outlineLevel="0" collapsed="false">
      <c r="A117" s="2" t="s">
        <v>151</v>
      </c>
      <c r="B117" s="7" t="n">
        <v>46043.6</v>
      </c>
      <c r="C117" s="7" t="n">
        <v>46043.7152777778</v>
      </c>
      <c r="D117" s="2" t="s">
        <v>42</v>
      </c>
      <c r="E117" s="2" t="s">
        <v>23</v>
      </c>
      <c r="F117" s="2" t="s">
        <v>24</v>
      </c>
      <c r="G117" s="2" t="s">
        <v>29</v>
      </c>
      <c r="H117" s="2" t="n">
        <v>5</v>
      </c>
      <c r="I117" s="2" t="str">
        <f aca="false">IF(C117="","Open","Resolved")</f>
        <v>Resolved</v>
      </c>
      <c r="J117" s="2" t="str">
        <f aca="false">TEXT(B117,"yyyy-mm")</f>
        <v>2026-01</v>
      </c>
      <c r="K117" s="8" t="n">
        <f aca="false">IF(C117="","",ROUND((C117-B117)*24,2))</f>
        <v>2.77</v>
      </c>
      <c r="L117" s="2" t="n">
        <f aca="false">INDEX('SLA Policy'!$B$2:$B$5,MATCH(E117,'SLA Policy'!$A$2:$A$5,0))</f>
        <v>8</v>
      </c>
      <c r="M117" s="2" t="str">
        <f aca="false">IF(K117="","Open",IF(K117&lt;=L117,"Yes","No"))</f>
        <v>Yes</v>
      </c>
    </row>
    <row r="118" customFormat="false" ht="15" hidden="false" customHeight="false" outlineLevel="0" collapsed="false">
      <c r="A118" s="2" t="s">
        <v>152</v>
      </c>
      <c r="B118" s="7" t="n">
        <v>46043.6708333333</v>
      </c>
      <c r="C118" s="7" t="n">
        <v>46048.0055555556</v>
      </c>
      <c r="D118" s="2" t="s">
        <v>22</v>
      </c>
      <c r="E118" s="2" t="s">
        <v>32</v>
      </c>
      <c r="F118" s="2" t="s">
        <v>24</v>
      </c>
      <c r="G118" s="2" t="s">
        <v>25</v>
      </c>
      <c r="H118" s="2" t="n">
        <v>1</v>
      </c>
      <c r="I118" s="2" t="str">
        <f aca="false">IF(C118="","Open","Resolved")</f>
        <v>Resolved</v>
      </c>
      <c r="J118" s="2" t="str">
        <f aca="false">TEXT(B118,"yyyy-mm")</f>
        <v>2026-01</v>
      </c>
      <c r="K118" s="8" t="n">
        <f aca="false">IF(C118="","",ROUND((C118-B118)*24,2))</f>
        <v>104.03</v>
      </c>
      <c r="L118" s="2" t="n">
        <f aca="false">INDEX('SLA Policy'!$B$2:$B$5,MATCH(E118,'SLA Policy'!$A$2:$A$5,0))</f>
        <v>72</v>
      </c>
      <c r="M118" s="2" t="str">
        <f aca="false">IF(K118="","Open",IF(K118&lt;=L118,"Yes","No"))</f>
        <v>No</v>
      </c>
    </row>
    <row r="119" customFormat="false" ht="15" hidden="false" customHeight="false" outlineLevel="0" collapsed="false">
      <c r="A119" s="2" t="s">
        <v>153</v>
      </c>
      <c r="B119" s="7" t="n">
        <v>46043.7444444444</v>
      </c>
      <c r="C119" s="7" t="n">
        <v>46048.2763888889</v>
      </c>
      <c r="D119" s="2" t="s">
        <v>48</v>
      </c>
      <c r="E119" s="2" t="s">
        <v>35</v>
      </c>
      <c r="F119" s="2" t="s">
        <v>27</v>
      </c>
      <c r="G119" s="2" t="s">
        <v>25</v>
      </c>
      <c r="H119" s="2" t="n">
        <v>1</v>
      </c>
      <c r="I119" s="2" t="str">
        <f aca="false">IF(C119="","Open","Resolved")</f>
        <v>Resolved</v>
      </c>
      <c r="J119" s="2" t="str">
        <f aca="false">TEXT(B119,"yyyy-mm")</f>
        <v>2026-01</v>
      </c>
      <c r="K119" s="8" t="n">
        <f aca="false">IF(C119="","",ROUND((C119-B119)*24,2))</f>
        <v>108.77</v>
      </c>
      <c r="L119" s="2" t="n">
        <f aca="false">INDEX('SLA Policy'!$B$2:$B$5,MATCH(E119,'SLA Policy'!$A$2:$A$5,0))</f>
        <v>24</v>
      </c>
      <c r="M119" s="2" t="str">
        <f aca="false">IF(K119="","Open",IF(K119&lt;=L119,"Yes","No"))</f>
        <v>No</v>
      </c>
    </row>
    <row r="120" customFormat="false" ht="15" hidden="false" customHeight="false" outlineLevel="0" collapsed="false">
      <c r="A120" s="2" t="s">
        <v>154</v>
      </c>
      <c r="B120" s="7" t="n">
        <v>46043.7840277778</v>
      </c>
      <c r="C120" s="7" t="n">
        <v>46045.2652777778</v>
      </c>
      <c r="D120" s="2" t="s">
        <v>48</v>
      </c>
      <c r="E120" s="2" t="s">
        <v>35</v>
      </c>
      <c r="F120" s="2" t="s">
        <v>28</v>
      </c>
      <c r="G120" s="2" t="s">
        <v>25</v>
      </c>
      <c r="H120" s="2" t="n">
        <v>4</v>
      </c>
      <c r="I120" s="2" t="str">
        <f aca="false">IF(C120="","Open","Resolved")</f>
        <v>Resolved</v>
      </c>
      <c r="J120" s="2" t="str">
        <f aca="false">TEXT(B120,"yyyy-mm")</f>
        <v>2026-01</v>
      </c>
      <c r="K120" s="8" t="n">
        <f aca="false">IF(C120="","",ROUND((C120-B120)*24,2))</f>
        <v>35.55</v>
      </c>
      <c r="L120" s="2" t="n">
        <f aca="false">INDEX('SLA Policy'!$B$2:$B$5,MATCH(E120,'SLA Policy'!$A$2:$A$5,0))</f>
        <v>24</v>
      </c>
      <c r="M120" s="2" t="str">
        <f aca="false">IF(K120="","Open",IF(K120&lt;=L120,"Yes","No"))</f>
        <v>No</v>
      </c>
    </row>
    <row r="121" customFormat="false" ht="15" hidden="false" customHeight="false" outlineLevel="0" collapsed="false">
      <c r="A121" s="2" t="s">
        <v>155</v>
      </c>
      <c r="B121" s="7" t="n">
        <v>46044.2979166667</v>
      </c>
      <c r="C121" s="7" t="n">
        <v>46044.3784722222</v>
      </c>
      <c r="D121" s="2" t="s">
        <v>31</v>
      </c>
      <c r="E121" s="2" t="s">
        <v>40</v>
      </c>
      <c r="F121" s="2" t="s">
        <v>38</v>
      </c>
      <c r="G121" s="2" t="s">
        <v>33</v>
      </c>
      <c r="H121" s="2" t="n">
        <v>5</v>
      </c>
      <c r="I121" s="2" t="str">
        <f aca="false">IF(C121="","Open","Resolved")</f>
        <v>Resolved</v>
      </c>
      <c r="J121" s="2" t="str">
        <f aca="false">TEXT(B121,"yyyy-mm")</f>
        <v>2026-01</v>
      </c>
      <c r="K121" s="8" t="n">
        <f aca="false">IF(C121="","",ROUND((C121-B121)*24,2))</f>
        <v>1.93</v>
      </c>
      <c r="L121" s="2" t="n">
        <f aca="false">INDEX('SLA Policy'!$B$2:$B$5,MATCH(E121,'SLA Policy'!$A$2:$A$5,0))</f>
        <v>4</v>
      </c>
      <c r="M121" s="2" t="str">
        <f aca="false">IF(K121="","Open",IF(K121&lt;=L121,"Yes","No"))</f>
        <v>Yes</v>
      </c>
    </row>
    <row r="122" customFormat="false" ht="15" hidden="false" customHeight="false" outlineLevel="0" collapsed="false">
      <c r="A122" s="2" t="s">
        <v>156</v>
      </c>
      <c r="B122" s="7" t="n">
        <v>46044.3097222222</v>
      </c>
      <c r="C122" s="7" t="n">
        <v>46046.2319444444</v>
      </c>
      <c r="D122" s="2" t="s">
        <v>48</v>
      </c>
      <c r="E122" s="2" t="s">
        <v>35</v>
      </c>
      <c r="F122" s="2" t="s">
        <v>38</v>
      </c>
      <c r="G122" s="2" t="s">
        <v>25</v>
      </c>
      <c r="H122" s="2" t="n">
        <v>2</v>
      </c>
      <c r="I122" s="2" t="str">
        <f aca="false">IF(C122="","Open","Resolved")</f>
        <v>Resolved</v>
      </c>
      <c r="J122" s="2" t="str">
        <f aca="false">TEXT(B122,"yyyy-mm")</f>
        <v>2026-01</v>
      </c>
      <c r="K122" s="8" t="n">
        <f aca="false">IF(C122="","",ROUND((C122-B122)*24,2))</f>
        <v>46.13</v>
      </c>
      <c r="L122" s="2" t="n">
        <f aca="false">INDEX('SLA Policy'!$B$2:$B$5,MATCH(E122,'SLA Policy'!$A$2:$A$5,0))</f>
        <v>24</v>
      </c>
      <c r="M122" s="2" t="str">
        <f aca="false">IF(K122="","Open",IF(K122&lt;=L122,"Yes","No"))</f>
        <v>No</v>
      </c>
    </row>
    <row r="123" customFormat="false" ht="15" hidden="false" customHeight="false" outlineLevel="0" collapsed="false">
      <c r="A123" s="2" t="s">
        <v>157</v>
      </c>
      <c r="B123" s="7" t="n">
        <v>46044.3576388889</v>
      </c>
      <c r="C123" s="7" t="n">
        <v>46046.4965277778</v>
      </c>
      <c r="D123" s="2" t="s">
        <v>22</v>
      </c>
      <c r="E123" s="2" t="s">
        <v>32</v>
      </c>
      <c r="F123" s="2" t="s">
        <v>24</v>
      </c>
      <c r="G123" s="2" t="s">
        <v>25</v>
      </c>
      <c r="H123" s="2" t="n">
        <v>4</v>
      </c>
      <c r="I123" s="2" t="str">
        <f aca="false">IF(C123="","Open","Resolved")</f>
        <v>Resolved</v>
      </c>
      <c r="J123" s="2" t="str">
        <f aca="false">TEXT(B123,"yyyy-mm")</f>
        <v>2026-01</v>
      </c>
      <c r="K123" s="8" t="n">
        <f aca="false">IF(C123="","",ROUND((C123-B123)*24,2))</f>
        <v>51.33</v>
      </c>
      <c r="L123" s="2" t="n">
        <f aca="false">INDEX('SLA Policy'!$B$2:$B$5,MATCH(E123,'SLA Policy'!$A$2:$A$5,0))</f>
        <v>72</v>
      </c>
      <c r="M123" s="2" t="str">
        <f aca="false">IF(K123="","Open",IF(K123&lt;=L123,"Yes","No"))</f>
        <v>Yes</v>
      </c>
    </row>
    <row r="124" customFormat="false" ht="15" hidden="false" customHeight="false" outlineLevel="0" collapsed="false">
      <c r="A124" s="2" t="s">
        <v>158</v>
      </c>
      <c r="B124" s="7" t="n">
        <v>46044.5486111111</v>
      </c>
      <c r="C124" s="7" t="n">
        <v>46045.2034722222</v>
      </c>
      <c r="D124" s="2" t="s">
        <v>48</v>
      </c>
      <c r="E124" s="2" t="s">
        <v>23</v>
      </c>
      <c r="F124" s="2" t="s">
        <v>24</v>
      </c>
      <c r="G124" s="2" t="s">
        <v>25</v>
      </c>
      <c r="H124" s="2" t="n">
        <v>3</v>
      </c>
      <c r="I124" s="2" t="str">
        <f aca="false">IF(C124="","Open","Resolved")</f>
        <v>Resolved</v>
      </c>
      <c r="J124" s="2" t="str">
        <f aca="false">TEXT(B124,"yyyy-mm")</f>
        <v>2026-01</v>
      </c>
      <c r="K124" s="8" t="n">
        <f aca="false">IF(C124="","",ROUND((C124-B124)*24,2))</f>
        <v>15.72</v>
      </c>
      <c r="L124" s="2" t="n">
        <f aca="false">INDEX('SLA Policy'!$B$2:$B$5,MATCH(E124,'SLA Policy'!$A$2:$A$5,0))</f>
        <v>8</v>
      </c>
      <c r="M124" s="2" t="str">
        <f aca="false">IF(K124="","Open",IF(K124&lt;=L124,"Yes","No"))</f>
        <v>No</v>
      </c>
    </row>
    <row r="125" customFormat="false" ht="15" hidden="false" customHeight="false" outlineLevel="0" collapsed="false">
      <c r="A125" s="2" t="s">
        <v>159</v>
      </c>
      <c r="B125" s="7" t="n">
        <v>46044.6743055556</v>
      </c>
      <c r="C125" s="7" t="n">
        <v>46045.3486111111</v>
      </c>
      <c r="D125" s="2" t="s">
        <v>31</v>
      </c>
      <c r="E125" s="2" t="s">
        <v>23</v>
      </c>
      <c r="F125" s="2" t="s">
        <v>24</v>
      </c>
      <c r="G125" s="2" t="s">
        <v>33</v>
      </c>
      <c r="H125" s="2" t="n">
        <v>5</v>
      </c>
      <c r="I125" s="2" t="str">
        <f aca="false">IF(C125="","Open","Resolved")</f>
        <v>Resolved</v>
      </c>
      <c r="J125" s="2" t="str">
        <f aca="false">TEXT(B125,"yyyy-mm")</f>
        <v>2026-01</v>
      </c>
      <c r="K125" s="8" t="n">
        <f aca="false">IF(C125="","",ROUND((C125-B125)*24,2))</f>
        <v>16.18</v>
      </c>
      <c r="L125" s="2" t="n">
        <f aca="false">INDEX('SLA Policy'!$B$2:$B$5,MATCH(E125,'SLA Policy'!$A$2:$A$5,0))</f>
        <v>8</v>
      </c>
      <c r="M125" s="2" t="str">
        <f aca="false">IF(K125="","Open",IF(K125&lt;=L125,"Yes","No"))</f>
        <v>No</v>
      </c>
    </row>
    <row r="126" customFormat="false" ht="15" hidden="false" customHeight="false" outlineLevel="0" collapsed="false">
      <c r="A126" s="2" t="s">
        <v>160</v>
      </c>
      <c r="B126" s="7" t="n">
        <v>46044.7020833333</v>
      </c>
      <c r="C126" s="7" t="n">
        <v>46045.8090277778</v>
      </c>
      <c r="D126" s="2" t="s">
        <v>22</v>
      </c>
      <c r="E126" s="2" t="s">
        <v>35</v>
      </c>
      <c r="F126" s="2" t="s">
        <v>28</v>
      </c>
      <c r="G126" s="2" t="s">
        <v>25</v>
      </c>
      <c r="H126" s="2" t="n">
        <v>4</v>
      </c>
      <c r="I126" s="2" t="str">
        <f aca="false">IF(C126="","Open","Resolved")</f>
        <v>Resolved</v>
      </c>
      <c r="J126" s="2" t="str">
        <f aca="false">TEXT(B126,"yyyy-mm")</f>
        <v>2026-01</v>
      </c>
      <c r="K126" s="8" t="n">
        <f aca="false">IF(C126="","",ROUND((C126-B126)*24,2))</f>
        <v>26.57</v>
      </c>
      <c r="L126" s="2" t="n">
        <f aca="false">INDEX('SLA Policy'!$B$2:$B$5,MATCH(E126,'SLA Policy'!$A$2:$A$5,0))</f>
        <v>24</v>
      </c>
      <c r="M126" s="2" t="str">
        <f aca="false">IF(K126="","Open",IF(K126&lt;=L126,"Yes","No"))</f>
        <v>No</v>
      </c>
    </row>
    <row r="127" customFormat="false" ht="15" hidden="false" customHeight="false" outlineLevel="0" collapsed="false">
      <c r="A127" s="2" t="s">
        <v>161</v>
      </c>
      <c r="B127" s="7" t="n">
        <v>46044.7048611111</v>
      </c>
      <c r="C127" s="7" t="n">
        <v>46044.9194444444</v>
      </c>
      <c r="D127" s="2" t="s">
        <v>22</v>
      </c>
      <c r="E127" s="2" t="s">
        <v>23</v>
      </c>
      <c r="F127" s="2" t="s">
        <v>24</v>
      </c>
      <c r="G127" s="2" t="s">
        <v>25</v>
      </c>
      <c r="H127" s="2" t="n">
        <v>5</v>
      </c>
      <c r="I127" s="2" t="str">
        <f aca="false">IF(C127="","Open","Resolved")</f>
        <v>Resolved</v>
      </c>
      <c r="J127" s="2" t="str">
        <f aca="false">TEXT(B127,"yyyy-mm")</f>
        <v>2026-01</v>
      </c>
      <c r="K127" s="8" t="n">
        <f aca="false">IF(C127="","",ROUND((C127-B127)*24,2))</f>
        <v>5.15</v>
      </c>
      <c r="L127" s="2" t="n">
        <f aca="false">INDEX('SLA Policy'!$B$2:$B$5,MATCH(E127,'SLA Policy'!$A$2:$A$5,0))</f>
        <v>8</v>
      </c>
      <c r="M127" s="2" t="str">
        <f aca="false">IF(K127="","Open",IF(K127&lt;=L127,"Yes","No"))</f>
        <v>Yes</v>
      </c>
    </row>
    <row r="128" customFormat="false" ht="15" hidden="false" customHeight="false" outlineLevel="0" collapsed="false">
      <c r="A128" s="2" t="s">
        <v>162</v>
      </c>
      <c r="B128" s="7" t="n">
        <v>46044.7479166667</v>
      </c>
      <c r="C128" s="7" t="n">
        <v>46048.1631944445</v>
      </c>
      <c r="D128" s="2" t="s">
        <v>31</v>
      </c>
      <c r="E128" s="2" t="s">
        <v>32</v>
      </c>
      <c r="F128" s="2" t="s">
        <v>24</v>
      </c>
      <c r="G128" s="2" t="s">
        <v>33</v>
      </c>
      <c r="H128" s="2" t="n">
        <v>1</v>
      </c>
      <c r="I128" s="2" t="str">
        <f aca="false">IF(C128="","Open","Resolved")</f>
        <v>Resolved</v>
      </c>
      <c r="J128" s="2" t="str">
        <f aca="false">TEXT(B128,"yyyy-mm")</f>
        <v>2026-01</v>
      </c>
      <c r="K128" s="8" t="n">
        <f aca="false">IF(C128="","",ROUND((C128-B128)*24,2))</f>
        <v>81.97</v>
      </c>
      <c r="L128" s="2" t="n">
        <f aca="false">INDEX('SLA Policy'!$B$2:$B$5,MATCH(E128,'SLA Policy'!$A$2:$A$5,0))</f>
        <v>72</v>
      </c>
      <c r="M128" s="2" t="str">
        <f aca="false">IF(K128="","Open",IF(K128&lt;=L128,"Yes","No"))</f>
        <v>No</v>
      </c>
    </row>
    <row r="129" customFormat="false" ht="15" hidden="false" customHeight="false" outlineLevel="0" collapsed="false">
      <c r="A129" s="2" t="s">
        <v>163</v>
      </c>
      <c r="B129" s="7" t="n">
        <v>46044.7513888889</v>
      </c>
      <c r="C129" s="7" t="n">
        <v>46045.0534722222</v>
      </c>
      <c r="D129" s="2" t="s">
        <v>31</v>
      </c>
      <c r="E129" s="2" t="s">
        <v>23</v>
      </c>
      <c r="F129" s="2" t="s">
        <v>38</v>
      </c>
      <c r="G129" s="2" t="s">
        <v>33</v>
      </c>
      <c r="H129" s="2" t="n">
        <v>5</v>
      </c>
      <c r="I129" s="2" t="str">
        <f aca="false">IF(C129="","Open","Resolved")</f>
        <v>Resolved</v>
      </c>
      <c r="J129" s="2" t="str">
        <f aca="false">TEXT(B129,"yyyy-mm")</f>
        <v>2026-01</v>
      </c>
      <c r="K129" s="8" t="n">
        <f aca="false">IF(C129="","",ROUND((C129-B129)*24,2))</f>
        <v>7.25</v>
      </c>
      <c r="L129" s="2" t="n">
        <f aca="false">INDEX('SLA Policy'!$B$2:$B$5,MATCH(E129,'SLA Policy'!$A$2:$A$5,0))</f>
        <v>8</v>
      </c>
      <c r="M129" s="2" t="str">
        <f aca="false">IF(K129="","Open",IF(K129&lt;=L129,"Yes","No"))</f>
        <v>Yes</v>
      </c>
    </row>
    <row r="130" customFormat="false" ht="15" hidden="false" customHeight="false" outlineLevel="0" collapsed="false">
      <c r="A130" s="2" t="s">
        <v>164</v>
      </c>
      <c r="B130" s="7" t="n">
        <v>46044.7513888889</v>
      </c>
      <c r="C130" s="7" t="n">
        <v>46044.9145833333</v>
      </c>
      <c r="D130" s="2" t="s">
        <v>42</v>
      </c>
      <c r="E130" s="2" t="s">
        <v>23</v>
      </c>
      <c r="F130" s="2" t="s">
        <v>27</v>
      </c>
      <c r="G130" s="2" t="s">
        <v>29</v>
      </c>
      <c r="H130" s="2" t="n">
        <v>5</v>
      </c>
      <c r="I130" s="2" t="str">
        <f aca="false">IF(C130="","Open","Resolved")</f>
        <v>Resolved</v>
      </c>
      <c r="J130" s="2" t="str">
        <f aca="false">TEXT(B130,"yyyy-mm")</f>
        <v>2026-01</v>
      </c>
      <c r="K130" s="8" t="n">
        <f aca="false">IF(C130="","",ROUND((C130-B130)*24,2))</f>
        <v>3.92</v>
      </c>
      <c r="L130" s="2" t="n">
        <f aca="false">INDEX('SLA Policy'!$B$2:$B$5,MATCH(E130,'SLA Policy'!$A$2:$A$5,0))</f>
        <v>8</v>
      </c>
      <c r="M130" s="2" t="str">
        <f aca="false">IF(K130="","Open",IF(K130&lt;=L130,"Yes","No"))</f>
        <v>Yes</v>
      </c>
    </row>
    <row r="131" customFormat="false" ht="15" hidden="false" customHeight="false" outlineLevel="0" collapsed="false">
      <c r="A131" s="2" t="s">
        <v>165</v>
      </c>
      <c r="B131" s="7" t="n">
        <v>46045.3006944444</v>
      </c>
      <c r="C131" s="7" t="n">
        <v>46046.21875</v>
      </c>
      <c r="D131" s="2" t="s">
        <v>48</v>
      </c>
      <c r="E131" s="2" t="s">
        <v>35</v>
      </c>
      <c r="F131" s="2" t="s">
        <v>27</v>
      </c>
      <c r="G131" s="2" t="s">
        <v>25</v>
      </c>
      <c r="H131" s="2" t="n">
        <v>5</v>
      </c>
      <c r="I131" s="2" t="str">
        <f aca="false">IF(C131="","Open","Resolved")</f>
        <v>Resolved</v>
      </c>
      <c r="J131" s="2" t="str">
        <f aca="false">TEXT(B131,"yyyy-mm")</f>
        <v>2026-01</v>
      </c>
      <c r="K131" s="8" t="n">
        <f aca="false">IF(C131="","",ROUND((C131-B131)*24,2))</f>
        <v>22.03</v>
      </c>
      <c r="L131" s="2" t="n">
        <f aca="false">INDEX('SLA Policy'!$B$2:$B$5,MATCH(E131,'SLA Policy'!$A$2:$A$5,0))</f>
        <v>24</v>
      </c>
      <c r="M131" s="2" t="str">
        <f aca="false">IF(K131="","Open",IF(K131&lt;=L131,"Yes","No"))</f>
        <v>Yes</v>
      </c>
    </row>
    <row r="132" customFormat="false" ht="15" hidden="false" customHeight="false" outlineLevel="0" collapsed="false">
      <c r="A132" s="2" t="s">
        <v>166</v>
      </c>
      <c r="B132" s="7" t="n">
        <v>46045.3118055556</v>
      </c>
      <c r="C132" s="7" t="n">
        <v>46046.6729166667</v>
      </c>
      <c r="D132" s="2" t="s">
        <v>48</v>
      </c>
      <c r="E132" s="2" t="s">
        <v>35</v>
      </c>
      <c r="F132" s="2" t="s">
        <v>28</v>
      </c>
      <c r="G132" s="2" t="s">
        <v>25</v>
      </c>
      <c r="H132" s="2" t="n">
        <v>5</v>
      </c>
      <c r="I132" s="2" t="str">
        <f aca="false">IF(C132="","Open","Resolved")</f>
        <v>Resolved</v>
      </c>
      <c r="J132" s="2" t="str">
        <f aca="false">TEXT(B132,"yyyy-mm")</f>
        <v>2026-01</v>
      </c>
      <c r="K132" s="8" t="n">
        <f aca="false">IF(C132="","",ROUND((C132-B132)*24,2))</f>
        <v>32.67</v>
      </c>
      <c r="L132" s="2" t="n">
        <f aca="false">INDEX('SLA Policy'!$B$2:$B$5,MATCH(E132,'SLA Policy'!$A$2:$A$5,0))</f>
        <v>24</v>
      </c>
      <c r="M132" s="2" t="str">
        <f aca="false">IF(K132="","Open",IF(K132&lt;=L132,"Yes","No"))</f>
        <v>No</v>
      </c>
    </row>
    <row r="133" customFormat="false" ht="15" hidden="false" customHeight="false" outlineLevel="0" collapsed="false">
      <c r="A133" s="2" t="s">
        <v>167</v>
      </c>
      <c r="B133" s="7" t="n">
        <v>46045.4506944444</v>
      </c>
      <c r="C133" s="7" t="n">
        <v>46045.4840277778</v>
      </c>
      <c r="D133" s="2" t="s">
        <v>42</v>
      </c>
      <c r="E133" s="2" t="s">
        <v>40</v>
      </c>
      <c r="F133" s="2" t="s">
        <v>27</v>
      </c>
      <c r="G133" s="2" t="s">
        <v>29</v>
      </c>
      <c r="H133" s="2" t="n">
        <v>4</v>
      </c>
      <c r="I133" s="2" t="str">
        <f aca="false">IF(C133="","Open","Resolved")</f>
        <v>Resolved</v>
      </c>
      <c r="J133" s="2" t="str">
        <f aca="false">TEXT(B133,"yyyy-mm")</f>
        <v>2026-01</v>
      </c>
      <c r="K133" s="8" t="n">
        <f aca="false">IF(C133="","",ROUND((C133-B133)*24,2))</f>
        <v>0.8</v>
      </c>
      <c r="L133" s="2" t="n">
        <f aca="false">INDEX('SLA Policy'!$B$2:$B$5,MATCH(E133,'SLA Policy'!$A$2:$A$5,0))</f>
        <v>4</v>
      </c>
      <c r="M133" s="2" t="str">
        <f aca="false">IF(K133="","Open",IF(K133&lt;=L133,"Yes","No"))</f>
        <v>Yes</v>
      </c>
    </row>
    <row r="134" customFormat="false" ht="15" hidden="false" customHeight="false" outlineLevel="0" collapsed="false">
      <c r="A134" s="2" t="s">
        <v>168</v>
      </c>
      <c r="B134" s="7" t="n">
        <v>46045.4715277778</v>
      </c>
      <c r="C134" s="7" t="n">
        <v>46046.1145833333</v>
      </c>
      <c r="D134" s="2" t="s">
        <v>48</v>
      </c>
      <c r="E134" s="2" t="s">
        <v>35</v>
      </c>
      <c r="F134" s="2" t="s">
        <v>24</v>
      </c>
      <c r="G134" s="2" t="s">
        <v>25</v>
      </c>
      <c r="H134" s="2" t="n">
        <v>4</v>
      </c>
      <c r="I134" s="2" t="str">
        <f aca="false">IF(C134="","Open","Resolved")</f>
        <v>Resolved</v>
      </c>
      <c r="J134" s="2" t="str">
        <f aca="false">TEXT(B134,"yyyy-mm")</f>
        <v>2026-01</v>
      </c>
      <c r="K134" s="8" t="n">
        <f aca="false">IF(C134="","",ROUND((C134-B134)*24,2))</f>
        <v>15.43</v>
      </c>
      <c r="L134" s="2" t="n">
        <f aca="false">INDEX('SLA Policy'!$B$2:$B$5,MATCH(E134,'SLA Policy'!$A$2:$A$5,0))</f>
        <v>24</v>
      </c>
      <c r="M134" s="2" t="str">
        <f aca="false">IF(K134="","Open",IF(K134&lt;=L134,"Yes","No"))</f>
        <v>Yes</v>
      </c>
    </row>
    <row r="135" customFormat="false" ht="15" hidden="false" customHeight="false" outlineLevel="0" collapsed="false">
      <c r="A135" s="2" t="s">
        <v>169</v>
      </c>
      <c r="B135" s="7" t="n">
        <v>46045.4756944445</v>
      </c>
      <c r="C135" s="7" t="n">
        <v>46048.2965277778</v>
      </c>
      <c r="D135" s="2" t="s">
        <v>22</v>
      </c>
      <c r="E135" s="2" t="s">
        <v>35</v>
      </c>
      <c r="F135" s="2" t="s">
        <v>38</v>
      </c>
      <c r="G135" s="2" t="s">
        <v>25</v>
      </c>
      <c r="H135" s="2" t="n">
        <v>4</v>
      </c>
      <c r="I135" s="2" t="str">
        <f aca="false">IF(C135="","Open","Resolved")</f>
        <v>Resolved</v>
      </c>
      <c r="J135" s="2" t="str">
        <f aca="false">TEXT(B135,"yyyy-mm")</f>
        <v>2026-01</v>
      </c>
      <c r="K135" s="8" t="n">
        <f aca="false">IF(C135="","",ROUND((C135-B135)*24,2))</f>
        <v>67.7</v>
      </c>
      <c r="L135" s="2" t="n">
        <f aca="false">INDEX('SLA Policy'!$B$2:$B$5,MATCH(E135,'SLA Policy'!$A$2:$A$5,0))</f>
        <v>24</v>
      </c>
      <c r="M135" s="2" t="str">
        <f aca="false">IF(K135="","Open",IF(K135&lt;=L135,"Yes","No"))</f>
        <v>No</v>
      </c>
    </row>
    <row r="136" customFormat="false" ht="15" hidden="false" customHeight="false" outlineLevel="0" collapsed="false">
      <c r="A136" s="2" t="s">
        <v>170</v>
      </c>
      <c r="B136" s="7" t="n">
        <v>46045.4854166667</v>
      </c>
      <c r="C136" s="7" t="n">
        <v>46045.9458333333</v>
      </c>
      <c r="D136" s="2" t="s">
        <v>22</v>
      </c>
      <c r="E136" s="2" t="s">
        <v>23</v>
      </c>
      <c r="F136" s="2" t="s">
        <v>38</v>
      </c>
      <c r="G136" s="2" t="s">
        <v>25</v>
      </c>
      <c r="H136" s="2" t="n">
        <v>5</v>
      </c>
      <c r="I136" s="2" t="str">
        <f aca="false">IF(C136="","Open","Resolved")</f>
        <v>Resolved</v>
      </c>
      <c r="J136" s="2" t="str">
        <f aca="false">TEXT(B136,"yyyy-mm")</f>
        <v>2026-01</v>
      </c>
      <c r="K136" s="8" t="n">
        <f aca="false">IF(C136="","",ROUND((C136-B136)*24,2))</f>
        <v>11.05</v>
      </c>
      <c r="L136" s="2" t="n">
        <f aca="false">INDEX('SLA Policy'!$B$2:$B$5,MATCH(E136,'SLA Policy'!$A$2:$A$5,0))</f>
        <v>8</v>
      </c>
      <c r="M136" s="2" t="str">
        <f aca="false">IF(K136="","Open",IF(K136&lt;=L136,"Yes","No"))</f>
        <v>No</v>
      </c>
    </row>
    <row r="137" customFormat="false" ht="15" hidden="false" customHeight="false" outlineLevel="0" collapsed="false">
      <c r="A137" s="2" t="s">
        <v>171</v>
      </c>
      <c r="B137" s="7" t="n">
        <v>46045.5388888889</v>
      </c>
      <c r="C137" s="7" t="n">
        <v>46046.4243055556</v>
      </c>
      <c r="D137" s="2" t="s">
        <v>22</v>
      </c>
      <c r="E137" s="2" t="s">
        <v>23</v>
      </c>
      <c r="F137" s="2" t="s">
        <v>27</v>
      </c>
      <c r="G137" s="2" t="s">
        <v>25</v>
      </c>
      <c r="H137" s="2" t="n">
        <v>5</v>
      </c>
      <c r="I137" s="2" t="str">
        <f aca="false">IF(C137="","Open","Resolved")</f>
        <v>Resolved</v>
      </c>
      <c r="J137" s="2" t="str">
        <f aca="false">TEXT(B137,"yyyy-mm")</f>
        <v>2026-01</v>
      </c>
      <c r="K137" s="8" t="n">
        <f aca="false">IF(C137="","",ROUND((C137-B137)*24,2))</f>
        <v>21.25</v>
      </c>
      <c r="L137" s="2" t="n">
        <f aca="false">INDEX('SLA Policy'!$B$2:$B$5,MATCH(E137,'SLA Policy'!$A$2:$A$5,0))</f>
        <v>8</v>
      </c>
      <c r="M137" s="2" t="str">
        <f aca="false">IF(K137="","Open",IF(K137&lt;=L137,"Yes","No"))</f>
        <v>No</v>
      </c>
    </row>
    <row r="138" customFormat="false" ht="15" hidden="false" customHeight="false" outlineLevel="0" collapsed="false">
      <c r="A138" s="2" t="s">
        <v>172</v>
      </c>
      <c r="B138" s="7" t="n">
        <v>46045.7277777778</v>
      </c>
      <c r="C138" s="7" t="n">
        <v>46046.7319444444</v>
      </c>
      <c r="D138" s="2" t="s">
        <v>48</v>
      </c>
      <c r="E138" s="2" t="s">
        <v>35</v>
      </c>
      <c r="F138" s="2" t="s">
        <v>24</v>
      </c>
      <c r="G138" s="2" t="s">
        <v>25</v>
      </c>
      <c r="H138" s="2" t="n">
        <v>4</v>
      </c>
      <c r="I138" s="2" t="str">
        <f aca="false">IF(C138="","Open","Resolved")</f>
        <v>Resolved</v>
      </c>
      <c r="J138" s="2" t="str">
        <f aca="false">TEXT(B138,"yyyy-mm")</f>
        <v>2026-01</v>
      </c>
      <c r="K138" s="8" t="n">
        <f aca="false">IF(C138="","",ROUND((C138-B138)*24,2))</f>
        <v>24.1</v>
      </c>
      <c r="L138" s="2" t="n">
        <f aca="false">INDEX('SLA Policy'!$B$2:$B$5,MATCH(E138,'SLA Policy'!$A$2:$A$5,0))</f>
        <v>24</v>
      </c>
      <c r="M138" s="2" t="str">
        <f aca="false">IF(K138="","Open",IF(K138&lt;=L138,"Yes","No"))</f>
        <v>No</v>
      </c>
    </row>
    <row r="139" customFormat="false" ht="15" hidden="false" customHeight="false" outlineLevel="0" collapsed="false">
      <c r="A139" s="2" t="s">
        <v>173</v>
      </c>
      <c r="B139" s="7" t="n">
        <v>46046.3034722222</v>
      </c>
      <c r="C139" s="7" t="n">
        <v>46047.3076388889</v>
      </c>
      <c r="D139" s="2" t="s">
        <v>42</v>
      </c>
      <c r="E139" s="2" t="s">
        <v>32</v>
      </c>
      <c r="F139" s="2" t="s">
        <v>24</v>
      </c>
      <c r="G139" s="2" t="s">
        <v>29</v>
      </c>
      <c r="H139" s="2" t="n">
        <v>4</v>
      </c>
      <c r="I139" s="2" t="str">
        <f aca="false">IF(C139="","Open","Resolved")</f>
        <v>Resolved</v>
      </c>
      <c r="J139" s="2" t="str">
        <f aca="false">TEXT(B139,"yyyy-mm")</f>
        <v>2026-01</v>
      </c>
      <c r="K139" s="8" t="n">
        <f aca="false">IF(C139="","",ROUND((C139-B139)*24,2))</f>
        <v>24.1</v>
      </c>
      <c r="L139" s="2" t="n">
        <f aca="false">INDEX('SLA Policy'!$B$2:$B$5,MATCH(E139,'SLA Policy'!$A$2:$A$5,0))</f>
        <v>72</v>
      </c>
      <c r="M139" s="2" t="str">
        <f aca="false">IF(K139="","Open",IF(K139&lt;=L139,"Yes","No"))</f>
        <v>Yes</v>
      </c>
    </row>
    <row r="140" customFormat="false" ht="15" hidden="false" customHeight="false" outlineLevel="0" collapsed="false">
      <c r="A140" s="2" t="s">
        <v>174</v>
      </c>
      <c r="B140" s="7" t="n">
        <v>46046.3083333333</v>
      </c>
      <c r="C140" s="7" t="n">
        <v>46047.1152777778</v>
      </c>
      <c r="D140" s="2" t="s">
        <v>27</v>
      </c>
      <c r="E140" s="2" t="s">
        <v>32</v>
      </c>
      <c r="F140" s="2" t="s">
        <v>28</v>
      </c>
      <c r="G140" s="2" t="s">
        <v>29</v>
      </c>
      <c r="H140" s="2" t="n">
        <v>4</v>
      </c>
      <c r="I140" s="2" t="str">
        <f aca="false">IF(C140="","Open","Resolved")</f>
        <v>Resolved</v>
      </c>
      <c r="J140" s="2" t="str">
        <f aca="false">TEXT(B140,"yyyy-mm")</f>
        <v>2026-01</v>
      </c>
      <c r="K140" s="8" t="n">
        <f aca="false">IF(C140="","",ROUND((C140-B140)*24,2))</f>
        <v>19.37</v>
      </c>
      <c r="L140" s="2" t="n">
        <f aca="false">INDEX('SLA Policy'!$B$2:$B$5,MATCH(E140,'SLA Policy'!$A$2:$A$5,0))</f>
        <v>72</v>
      </c>
      <c r="M140" s="2" t="str">
        <f aca="false">IF(K140="","Open",IF(K140&lt;=L140,"Yes","No"))</f>
        <v>Yes</v>
      </c>
    </row>
    <row r="141" customFormat="false" ht="15" hidden="false" customHeight="false" outlineLevel="0" collapsed="false">
      <c r="A141" s="2" t="s">
        <v>175</v>
      </c>
      <c r="B141" s="7" t="n">
        <v>46046.4368055556</v>
      </c>
      <c r="C141" s="7" t="n">
        <v>46046.5583333333</v>
      </c>
      <c r="D141" s="2" t="s">
        <v>42</v>
      </c>
      <c r="E141" s="2" t="s">
        <v>23</v>
      </c>
      <c r="F141" s="2" t="s">
        <v>27</v>
      </c>
      <c r="G141" s="2" t="s">
        <v>29</v>
      </c>
      <c r="H141" s="2" t="n">
        <v>5</v>
      </c>
      <c r="I141" s="2" t="str">
        <f aca="false">IF(C141="","Open","Resolved")</f>
        <v>Resolved</v>
      </c>
      <c r="J141" s="2" t="str">
        <f aca="false">TEXT(B141,"yyyy-mm")</f>
        <v>2026-01</v>
      </c>
      <c r="K141" s="8" t="n">
        <f aca="false">IF(C141="","",ROUND((C141-B141)*24,2))</f>
        <v>2.92</v>
      </c>
      <c r="L141" s="2" t="n">
        <f aca="false">INDEX('SLA Policy'!$B$2:$B$5,MATCH(E141,'SLA Policy'!$A$2:$A$5,0))</f>
        <v>8</v>
      </c>
      <c r="M141" s="2" t="str">
        <f aca="false">IF(K141="","Open",IF(K141&lt;=L141,"Yes","No"))</f>
        <v>Yes</v>
      </c>
    </row>
    <row r="142" customFormat="false" ht="15" hidden="false" customHeight="false" outlineLevel="0" collapsed="false">
      <c r="A142" s="2" t="s">
        <v>176</v>
      </c>
      <c r="B142" s="7" t="n">
        <v>46046.5326388889</v>
      </c>
      <c r="C142" s="7" t="n">
        <v>46046.9770833333</v>
      </c>
      <c r="D142" s="2" t="s">
        <v>22</v>
      </c>
      <c r="E142" s="2" t="s">
        <v>23</v>
      </c>
      <c r="F142" s="2" t="s">
        <v>27</v>
      </c>
      <c r="G142" s="2" t="s">
        <v>25</v>
      </c>
      <c r="H142" s="2" t="n">
        <v>3</v>
      </c>
      <c r="I142" s="2" t="str">
        <f aca="false">IF(C142="","Open","Resolved")</f>
        <v>Resolved</v>
      </c>
      <c r="J142" s="2" t="str">
        <f aca="false">TEXT(B142,"yyyy-mm")</f>
        <v>2026-01</v>
      </c>
      <c r="K142" s="8" t="n">
        <f aca="false">IF(C142="","",ROUND((C142-B142)*24,2))</f>
        <v>10.67</v>
      </c>
      <c r="L142" s="2" t="n">
        <f aca="false">INDEX('SLA Policy'!$B$2:$B$5,MATCH(E142,'SLA Policy'!$A$2:$A$5,0))</f>
        <v>8</v>
      </c>
      <c r="M142" s="2" t="str">
        <f aca="false">IF(K142="","Open",IF(K142&lt;=L142,"Yes","No"))</f>
        <v>No</v>
      </c>
    </row>
    <row r="143" customFormat="false" ht="15" hidden="false" customHeight="false" outlineLevel="0" collapsed="false">
      <c r="A143" s="2" t="s">
        <v>177</v>
      </c>
      <c r="B143" s="7" t="n">
        <v>46046.5354166667</v>
      </c>
      <c r="C143" s="7" t="n">
        <v>46048.9645833333</v>
      </c>
      <c r="D143" s="2" t="s">
        <v>27</v>
      </c>
      <c r="E143" s="2" t="s">
        <v>32</v>
      </c>
      <c r="F143" s="2" t="s">
        <v>24</v>
      </c>
      <c r="G143" s="2" t="s">
        <v>29</v>
      </c>
      <c r="H143" s="2" t="n">
        <v>1</v>
      </c>
      <c r="I143" s="2" t="str">
        <f aca="false">IF(C143="","Open","Resolved")</f>
        <v>Resolved</v>
      </c>
      <c r="J143" s="2" t="str">
        <f aca="false">TEXT(B143,"yyyy-mm")</f>
        <v>2026-01</v>
      </c>
      <c r="K143" s="8" t="n">
        <f aca="false">IF(C143="","",ROUND((C143-B143)*24,2))</f>
        <v>58.3</v>
      </c>
      <c r="L143" s="2" t="n">
        <f aca="false">INDEX('SLA Policy'!$B$2:$B$5,MATCH(E143,'SLA Policy'!$A$2:$A$5,0))</f>
        <v>72</v>
      </c>
      <c r="M143" s="2" t="str">
        <f aca="false">IF(K143="","Open",IF(K143&lt;=L143,"Yes","No"))</f>
        <v>Yes</v>
      </c>
    </row>
    <row r="144" customFormat="false" ht="15" hidden="false" customHeight="false" outlineLevel="0" collapsed="false">
      <c r="A144" s="2" t="s">
        <v>178</v>
      </c>
      <c r="B144" s="7" t="n">
        <v>46046.6909722222</v>
      </c>
      <c r="C144" s="7" t="n">
        <v>46047.5243055556</v>
      </c>
      <c r="D144" s="2" t="s">
        <v>42</v>
      </c>
      <c r="E144" s="2" t="s">
        <v>35</v>
      </c>
      <c r="F144" s="2" t="s">
        <v>38</v>
      </c>
      <c r="G144" s="2" t="s">
        <v>29</v>
      </c>
      <c r="H144" s="2" t="n">
        <v>3</v>
      </c>
      <c r="I144" s="2" t="str">
        <f aca="false">IF(C144="","Open","Resolved")</f>
        <v>Resolved</v>
      </c>
      <c r="J144" s="2" t="str">
        <f aca="false">TEXT(B144,"yyyy-mm")</f>
        <v>2026-01</v>
      </c>
      <c r="K144" s="8" t="n">
        <f aca="false">IF(C144="","",ROUND((C144-B144)*24,2))</f>
        <v>20</v>
      </c>
      <c r="L144" s="2" t="n">
        <f aca="false">INDEX('SLA Policy'!$B$2:$B$5,MATCH(E144,'SLA Policy'!$A$2:$A$5,0))</f>
        <v>24</v>
      </c>
      <c r="M144" s="2" t="str">
        <f aca="false">IF(K144="","Open",IF(K144&lt;=L144,"Yes","No"))</f>
        <v>Yes</v>
      </c>
    </row>
    <row r="145" customFormat="false" ht="15" hidden="false" customHeight="false" outlineLevel="0" collapsed="false">
      <c r="A145" s="2" t="s">
        <v>179</v>
      </c>
      <c r="B145" s="7" t="n">
        <v>46046.7013888889</v>
      </c>
      <c r="C145" s="7" t="n">
        <v>46053.2930555556</v>
      </c>
      <c r="D145" s="2" t="s">
        <v>22</v>
      </c>
      <c r="E145" s="2" t="s">
        <v>32</v>
      </c>
      <c r="F145" s="2" t="s">
        <v>28</v>
      </c>
      <c r="G145" s="2" t="s">
        <v>25</v>
      </c>
      <c r="H145" s="2" t="n">
        <v>1</v>
      </c>
      <c r="I145" s="2" t="str">
        <f aca="false">IF(C145="","Open","Resolved")</f>
        <v>Resolved</v>
      </c>
      <c r="J145" s="2" t="str">
        <f aca="false">TEXT(B145,"yyyy-mm")</f>
        <v>2026-01</v>
      </c>
      <c r="K145" s="8" t="n">
        <f aca="false">IF(C145="","",ROUND((C145-B145)*24,2))</f>
        <v>158.2</v>
      </c>
      <c r="L145" s="2" t="n">
        <f aca="false">INDEX('SLA Policy'!$B$2:$B$5,MATCH(E145,'SLA Policy'!$A$2:$A$5,0))</f>
        <v>72</v>
      </c>
      <c r="M145" s="2" t="str">
        <f aca="false">IF(K145="","Open",IF(K145&lt;=L145,"Yes","No"))</f>
        <v>No</v>
      </c>
    </row>
    <row r="146" customFormat="false" ht="15" hidden="false" customHeight="false" outlineLevel="0" collapsed="false">
      <c r="A146" s="2" t="s">
        <v>180</v>
      </c>
      <c r="B146" s="7" t="n">
        <v>46047.3215277778</v>
      </c>
      <c r="C146" s="7" t="n">
        <v>46047.5006944445</v>
      </c>
      <c r="D146" s="2" t="s">
        <v>27</v>
      </c>
      <c r="E146" s="2" t="s">
        <v>35</v>
      </c>
      <c r="F146" s="2" t="s">
        <v>24</v>
      </c>
      <c r="G146" s="2" t="s">
        <v>29</v>
      </c>
      <c r="H146" s="2" t="n">
        <v>4</v>
      </c>
      <c r="I146" s="2" t="str">
        <f aca="false">IF(C146="","Open","Resolved")</f>
        <v>Resolved</v>
      </c>
      <c r="J146" s="2" t="str">
        <f aca="false">TEXT(B146,"yyyy-mm")</f>
        <v>2026-01</v>
      </c>
      <c r="K146" s="8" t="n">
        <f aca="false">IF(C146="","",ROUND((C146-B146)*24,2))</f>
        <v>4.3</v>
      </c>
      <c r="L146" s="2" t="n">
        <f aca="false">INDEX('SLA Policy'!$B$2:$B$5,MATCH(E146,'SLA Policy'!$A$2:$A$5,0))</f>
        <v>24</v>
      </c>
      <c r="M146" s="2" t="str">
        <f aca="false">IF(K146="","Open",IF(K146&lt;=L146,"Yes","No"))</f>
        <v>Yes</v>
      </c>
    </row>
    <row r="147" customFormat="false" ht="15" hidden="false" customHeight="false" outlineLevel="0" collapsed="false">
      <c r="A147" s="2" t="s">
        <v>181</v>
      </c>
      <c r="B147" s="7" t="n">
        <v>46048.325</v>
      </c>
      <c r="C147" s="7" t="n">
        <v>46049.0798611111</v>
      </c>
      <c r="D147" s="2" t="s">
        <v>42</v>
      </c>
      <c r="E147" s="2" t="s">
        <v>35</v>
      </c>
      <c r="F147" s="2" t="s">
        <v>24</v>
      </c>
      <c r="G147" s="2" t="s">
        <v>29</v>
      </c>
      <c r="H147" s="2" t="n">
        <v>5</v>
      </c>
      <c r="I147" s="2" t="str">
        <f aca="false">IF(C147="","Open","Resolved")</f>
        <v>Resolved</v>
      </c>
      <c r="J147" s="2" t="str">
        <f aca="false">TEXT(B147,"yyyy-mm")</f>
        <v>2026-01</v>
      </c>
      <c r="K147" s="8" t="n">
        <f aca="false">IF(C147="","",ROUND((C147-B147)*24,2))</f>
        <v>18.12</v>
      </c>
      <c r="L147" s="2" t="n">
        <f aca="false">INDEX('SLA Policy'!$B$2:$B$5,MATCH(E147,'SLA Policy'!$A$2:$A$5,0))</f>
        <v>24</v>
      </c>
      <c r="M147" s="2" t="str">
        <f aca="false">IF(K147="","Open",IF(K147&lt;=L147,"Yes","No"))</f>
        <v>Yes</v>
      </c>
    </row>
    <row r="148" customFormat="false" ht="15" hidden="false" customHeight="false" outlineLevel="0" collapsed="false">
      <c r="A148" s="2" t="s">
        <v>182</v>
      </c>
      <c r="B148" s="7" t="n">
        <v>46048.3645833333</v>
      </c>
      <c r="C148" s="7" t="n">
        <v>46048.8583333333</v>
      </c>
      <c r="D148" s="2" t="s">
        <v>22</v>
      </c>
      <c r="E148" s="2" t="s">
        <v>35</v>
      </c>
      <c r="F148" s="2" t="s">
        <v>24</v>
      </c>
      <c r="G148" s="2" t="s">
        <v>25</v>
      </c>
      <c r="H148" s="2" t="n">
        <v>5</v>
      </c>
      <c r="I148" s="2" t="str">
        <f aca="false">IF(C148="","Open","Resolved")</f>
        <v>Resolved</v>
      </c>
      <c r="J148" s="2" t="str">
        <f aca="false">TEXT(B148,"yyyy-mm")</f>
        <v>2026-01</v>
      </c>
      <c r="K148" s="8" t="n">
        <f aca="false">IF(C148="","",ROUND((C148-B148)*24,2))</f>
        <v>11.85</v>
      </c>
      <c r="L148" s="2" t="n">
        <f aca="false">INDEX('SLA Policy'!$B$2:$B$5,MATCH(E148,'SLA Policy'!$A$2:$A$5,0))</f>
        <v>24</v>
      </c>
      <c r="M148" s="2" t="str">
        <f aca="false">IF(K148="","Open",IF(K148&lt;=L148,"Yes","No"))</f>
        <v>Yes</v>
      </c>
    </row>
    <row r="149" customFormat="false" ht="15" hidden="false" customHeight="false" outlineLevel="0" collapsed="false">
      <c r="A149" s="2" t="s">
        <v>183</v>
      </c>
      <c r="B149" s="7" t="n">
        <v>46048.4270833333</v>
      </c>
      <c r="C149" s="7" t="n">
        <v>46048.9673611111</v>
      </c>
      <c r="D149" s="2" t="s">
        <v>27</v>
      </c>
      <c r="E149" s="2" t="s">
        <v>35</v>
      </c>
      <c r="F149" s="2" t="s">
        <v>28</v>
      </c>
      <c r="G149" s="2" t="s">
        <v>29</v>
      </c>
      <c r="H149" s="2" t="n">
        <v>4</v>
      </c>
      <c r="I149" s="2" t="str">
        <f aca="false">IF(C149="","Open","Resolved")</f>
        <v>Resolved</v>
      </c>
      <c r="J149" s="2" t="str">
        <f aca="false">TEXT(B149,"yyyy-mm")</f>
        <v>2026-01</v>
      </c>
      <c r="K149" s="8" t="n">
        <f aca="false">IF(C149="","",ROUND((C149-B149)*24,2))</f>
        <v>12.97</v>
      </c>
      <c r="L149" s="2" t="n">
        <f aca="false">INDEX('SLA Policy'!$B$2:$B$5,MATCH(E149,'SLA Policy'!$A$2:$A$5,0))</f>
        <v>24</v>
      </c>
      <c r="M149" s="2" t="str">
        <f aca="false">IF(K149="","Open",IF(K149&lt;=L149,"Yes","No"))</f>
        <v>Yes</v>
      </c>
    </row>
    <row r="150" customFormat="false" ht="15" hidden="false" customHeight="false" outlineLevel="0" collapsed="false">
      <c r="A150" s="2" t="s">
        <v>184</v>
      </c>
      <c r="B150" s="7" t="n">
        <v>46048.5520833333</v>
      </c>
      <c r="C150" s="7" t="n">
        <v>46048.9583333333</v>
      </c>
      <c r="D150" s="2" t="s">
        <v>42</v>
      </c>
      <c r="E150" s="2" t="s">
        <v>32</v>
      </c>
      <c r="F150" s="2" t="s">
        <v>27</v>
      </c>
      <c r="G150" s="2" t="s">
        <v>29</v>
      </c>
      <c r="H150" s="2" t="n">
        <v>4</v>
      </c>
      <c r="I150" s="2" t="str">
        <f aca="false">IF(C150="","Open","Resolved")</f>
        <v>Resolved</v>
      </c>
      <c r="J150" s="2" t="str">
        <f aca="false">TEXT(B150,"yyyy-mm")</f>
        <v>2026-01</v>
      </c>
      <c r="K150" s="8" t="n">
        <f aca="false">IF(C150="","",ROUND((C150-B150)*24,2))</f>
        <v>9.75</v>
      </c>
      <c r="L150" s="2" t="n">
        <f aca="false">INDEX('SLA Policy'!$B$2:$B$5,MATCH(E150,'SLA Policy'!$A$2:$A$5,0))</f>
        <v>72</v>
      </c>
      <c r="M150" s="2" t="str">
        <f aca="false">IF(K150="","Open",IF(K150&lt;=L150,"Yes","No"))</f>
        <v>Yes</v>
      </c>
    </row>
    <row r="151" customFormat="false" ht="15" hidden="false" customHeight="false" outlineLevel="0" collapsed="false">
      <c r="A151" s="2" t="s">
        <v>185</v>
      </c>
      <c r="B151" s="7" t="n">
        <v>46048.5618055556</v>
      </c>
      <c r="C151" s="7" t="n">
        <v>46051.14375</v>
      </c>
      <c r="D151" s="2" t="s">
        <v>22</v>
      </c>
      <c r="E151" s="2" t="s">
        <v>35</v>
      </c>
      <c r="F151" s="2" t="s">
        <v>38</v>
      </c>
      <c r="G151" s="2" t="s">
        <v>25</v>
      </c>
      <c r="H151" s="2" t="n">
        <v>4</v>
      </c>
      <c r="I151" s="2" t="str">
        <f aca="false">IF(C151="","Open","Resolved")</f>
        <v>Resolved</v>
      </c>
      <c r="J151" s="2" t="str">
        <f aca="false">TEXT(B151,"yyyy-mm")</f>
        <v>2026-01</v>
      </c>
      <c r="K151" s="8" t="n">
        <f aca="false">IF(C151="","",ROUND((C151-B151)*24,2))</f>
        <v>61.97</v>
      </c>
      <c r="L151" s="2" t="n">
        <f aca="false">INDEX('SLA Policy'!$B$2:$B$5,MATCH(E151,'SLA Policy'!$A$2:$A$5,0))</f>
        <v>24</v>
      </c>
      <c r="M151" s="2" t="str">
        <f aca="false">IF(K151="","Open",IF(K151&lt;=L151,"Yes","No"))</f>
        <v>No</v>
      </c>
    </row>
    <row r="152" customFormat="false" ht="15" hidden="false" customHeight="false" outlineLevel="0" collapsed="false">
      <c r="A152" s="2" t="s">
        <v>186</v>
      </c>
      <c r="B152" s="7" t="n">
        <v>46048.5631944445</v>
      </c>
      <c r="C152" s="7" t="n">
        <v>46050.2076388889</v>
      </c>
      <c r="D152" s="2" t="s">
        <v>42</v>
      </c>
      <c r="E152" s="2" t="s">
        <v>32</v>
      </c>
      <c r="F152" s="2" t="s">
        <v>27</v>
      </c>
      <c r="G152" s="2" t="s">
        <v>29</v>
      </c>
      <c r="H152" s="2" t="n">
        <v>4</v>
      </c>
      <c r="I152" s="2" t="str">
        <f aca="false">IF(C152="","Open","Resolved")</f>
        <v>Resolved</v>
      </c>
      <c r="J152" s="2" t="str">
        <f aca="false">TEXT(B152,"yyyy-mm")</f>
        <v>2026-01</v>
      </c>
      <c r="K152" s="8" t="n">
        <f aca="false">IF(C152="","",ROUND((C152-B152)*24,2))</f>
        <v>39.47</v>
      </c>
      <c r="L152" s="2" t="n">
        <f aca="false">INDEX('SLA Policy'!$B$2:$B$5,MATCH(E152,'SLA Policy'!$A$2:$A$5,0))</f>
        <v>72</v>
      </c>
      <c r="M152" s="2" t="str">
        <f aca="false">IF(K152="","Open",IF(K152&lt;=L152,"Yes","No"))</f>
        <v>Yes</v>
      </c>
    </row>
    <row r="153" customFormat="false" ht="15" hidden="false" customHeight="false" outlineLevel="0" collapsed="false">
      <c r="A153" s="2" t="s">
        <v>187</v>
      </c>
      <c r="B153" s="7" t="n">
        <v>46048.6048611111</v>
      </c>
      <c r="C153" s="7" t="n">
        <v>46049.1194444444</v>
      </c>
      <c r="D153" s="2" t="s">
        <v>31</v>
      </c>
      <c r="E153" s="2" t="s">
        <v>23</v>
      </c>
      <c r="F153" s="2" t="s">
        <v>27</v>
      </c>
      <c r="G153" s="2" t="s">
        <v>33</v>
      </c>
      <c r="H153" s="2" t="n">
        <v>5</v>
      </c>
      <c r="I153" s="2" t="str">
        <f aca="false">IF(C153="","Open","Resolved")</f>
        <v>Resolved</v>
      </c>
      <c r="J153" s="2" t="str">
        <f aca="false">TEXT(B153,"yyyy-mm")</f>
        <v>2026-01</v>
      </c>
      <c r="K153" s="8" t="n">
        <f aca="false">IF(C153="","",ROUND((C153-B153)*24,2))</f>
        <v>12.35</v>
      </c>
      <c r="L153" s="2" t="n">
        <f aca="false">INDEX('SLA Policy'!$B$2:$B$5,MATCH(E153,'SLA Policy'!$A$2:$A$5,0))</f>
        <v>8</v>
      </c>
      <c r="M153" s="2" t="str">
        <f aca="false">IF(K153="","Open",IF(K153&lt;=L153,"Yes","No"))</f>
        <v>No</v>
      </c>
    </row>
    <row r="154" customFormat="false" ht="15" hidden="false" customHeight="false" outlineLevel="0" collapsed="false">
      <c r="A154" s="2" t="s">
        <v>188</v>
      </c>
      <c r="B154" s="7" t="n">
        <v>46048.6743055556</v>
      </c>
      <c r="C154" s="7" t="n">
        <v>46051.8048611111</v>
      </c>
      <c r="D154" s="2" t="s">
        <v>48</v>
      </c>
      <c r="E154" s="2" t="s">
        <v>32</v>
      </c>
      <c r="F154" s="2" t="s">
        <v>38</v>
      </c>
      <c r="G154" s="2" t="s">
        <v>25</v>
      </c>
      <c r="H154" s="2" t="n">
        <v>2</v>
      </c>
      <c r="I154" s="2" t="str">
        <f aca="false">IF(C154="","Open","Resolved")</f>
        <v>Resolved</v>
      </c>
      <c r="J154" s="2" t="str">
        <f aca="false">TEXT(B154,"yyyy-mm")</f>
        <v>2026-01</v>
      </c>
      <c r="K154" s="8" t="n">
        <f aca="false">IF(C154="","",ROUND((C154-B154)*24,2))</f>
        <v>75.13</v>
      </c>
      <c r="L154" s="2" t="n">
        <f aca="false">INDEX('SLA Policy'!$B$2:$B$5,MATCH(E154,'SLA Policy'!$A$2:$A$5,0))</f>
        <v>72</v>
      </c>
      <c r="M154" s="2" t="str">
        <f aca="false">IF(K154="","Open",IF(K154&lt;=L154,"Yes","No"))</f>
        <v>No</v>
      </c>
    </row>
    <row r="155" customFormat="false" ht="15" hidden="false" customHeight="false" outlineLevel="0" collapsed="false">
      <c r="A155" s="2" t="s">
        <v>189</v>
      </c>
      <c r="B155" s="7" t="n">
        <v>46048.7048611111</v>
      </c>
      <c r="C155" s="7" t="n">
        <v>46049.8555555556</v>
      </c>
      <c r="D155" s="2" t="s">
        <v>48</v>
      </c>
      <c r="E155" s="2" t="s">
        <v>23</v>
      </c>
      <c r="F155" s="2" t="s">
        <v>28</v>
      </c>
      <c r="G155" s="2" t="s">
        <v>25</v>
      </c>
      <c r="H155" s="2" t="n">
        <v>4</v>
      </c>
      <c r="I155" s="2" t="str">
        <f aca="false">IF(C155="","Open","Resolved")</f>
        <v>Resolved</v>
      </c>
      <c r="J155" s="2" t="str">
        <f aca="false">TEXT(B155,"yyyy-mm")</f>
        <v>2026-01</v>
      </c>
      <c r="K155" s="8" t="n">
        <f aca="false">IF(C155="","",ROUND((C155-B155)*24,2))</f>
        <v>27.62</v>
      </c>
      <c r="L155" s="2" t="n">
        <f aca="false">INDEX('SLA Policy'!$B$2:$B$5,MATCH(E155,'SLA Policy'!$A$2:$A$5,0))</f>
        <v>8</v>
      </c>
      <c r="M155" s="2" t="str">
        <f aca="false">IF(K155="","Open",IF(K155&lt;=L155,"Yes","No"))</f>
        <v>No</v>
      </c>
    </row>
    <row r="156" customFormat="false" ht="15" hidden="false" customHeight="false" outlineLevel="0" collapsed="false">
      <c r="A156" s="2" t="s">
        <v>190</v>
      </c>
      <c r="B156" s="7" t="n">
        <v>46048.7784722222</v>
      </c>
      <c r="C156" s="7" t="n">
        <v>46048.9340277778</v>
      </c>
      <c r="D156" s="2" t="s">
        <v>42</v>
      </c>
      <c r="E156" s="2" t="s">
        <v>23</v>
      </c>
      <c r="F156" s="2" t="s">
        <v>38</v>
      </c>
      <c r="G156" s="2" t="s">
        <v>29</v>
      </c>
      <c r="H156" s="2" t="n">
        <v>4</v>
      </c>
      <c r="I156" s="2" t="str">
        <f aca="false">IF(C156="","Open","Resolved")</f>
        <v>Resolved</v>
      </c>
      <c r="J156" s="2" t="str">
        <f aca="false">TEXT(B156,"yyyy-mm")</f>
        <v>2026-01</v>
      </c>
      <c r="K156" s="8" t="n">
        <f aca="false">IF(C156="","",ROUND((C156-B156)*24,2))</f>
        <v>3.73</v>
      </c>
      <c r="L156" s="2" t="n">
        <f aca="false">INDEX('SLA Policy'!$B$2:$B$5,MATCH(E156,'SLA Policy'!$A$2:$A$5,0))</f>
        <v>8</v>
      </c>
      <c r="M156" s="2" t="str">
        <f aca="false">IF(K156="","Open",IF(K156&lt;=L156,"Yes","No"))</f>
        <v>Yes</v>
      </c>
    </row>
    <row r="157" customFormat="false" ht="15" hidden="false" customHeight="false" outlineLevel="0" collapsed="false">
      <c r="A157" s="2" t="s">
        <v>191</v>
      </c>
      <c r="B157" s="7" t="n">
        <v>46049.2923611111</v>
      </c>
      <c r="C157" s="7" t="n">
        <v>46052.8236111111</v>
      </c>
      <c r="D157" s="2" t="s">
        <v>48</v>
      </c>
      <c r="E157" s="2" t="s">
        <v>32</v>
      </c>
      <c r="F157" s="2" t="s">
        <v>24</v>
      </c>
      <c r="G157" s="2" t="s">
        <v>25</v>
      </c>
      <c r="H157" s="2" t="n">
        <v>3</v>
      </c>
      <c r="I157" s="2" t="str">
        <f aca="false">IF(C157="","Open","Resolved")</f>
        <v>Resolved</v>
      </c>
      <c r="J157" s="2" t="str">
        <f aca="false">TEXT(B157,"yyyy-mm")</f>
        <v>2026-01</v>
      </c>
      <c r="K157" s="8" t="n">
        <f aca="false">IF(C157="","",ROUND((C157-B157)*24,2))</f>
        <v>84.75</v>
      </c>
      <c r="L157" s="2" t="n">
        <f aca="false">INDEX('SLA Policy'!$B$2:$B$5,MATCH(E157,'SLA Policy'!$A$2:$A$5,0))</f>
        <v>72</v>
      </c>
      <c r="M157" s="2" t="str">
        <f aca="false">IF(K157="","Open",IF(K157&lt;=L157,"Yes","No"))</f>
        <v>No</v>
      </c>
    </row>
    <row r="158" customFormat="false" ht="15" hidden="false" customHeight="false" outlineLevel="0" collapsed="false">
      <c r="A158" s="2" t="s">
        <v>192</v>
      </c>
      <c r="B158" s="7" t="n">
        <v>46049.3326388889</v>
      </c>
      <c r="C158" s="7" t="n">
        <v>46059.9027777778</v>
      </c>
      <c r="D158" s="2" t="s">
        <v>48</v>
      </c>
      <c r="E158" s="2" t="s">
        <v>32</v>
      </c>
      <c r="F158" s="2" t="s">
        <v>27</v>
      </c>
      <c r="G158" s="2" t="s">
        <v>25</v>
      </c>
      <c r="H158" s="2" t="n">
        <v>1</v>
      </c>
      <c r="I158" s="2" t="str">
        <f aca="false">IF(C158="","Open","Resolved")</f>
        <v>Resolved</v>
      </c>
      <c r="J158" s="2" t="str">
        <f aca="false">TEXT(B158,"yyyy-mm")</f>
        <v>2026-01</v>
      </c>
      <c r="K158" s="8" t="n">
        <f aca="false">IF(C158="","",ROUND((C158-B158)*24,2))</f>
        <v>253.68</v>
      </c>
      <c r="L158" s="2" t="n">
        <f aca="false">INDEX('SLA Policy'!$B$2:$B$5,MATCH(E158,'SLA Policy'!$A$2:$A$5,0))</f>
        <v>72</v>
      </c>
      <c r="M158" s="2" t="str">
        <f aca="false">IF(K158="","Open",IF(K158&lt;=L158,"Yes","No"))</f>
        <v>No</v>
      </c>
    </row>
    <row r="159" customFormat="false" ht="15" hidden="false" customHeight="false" outlineLevel="0" collapsed="false">
      <c r="A159" s="2" t="s">
        <v>193</v>
      </c>
      <c r="B159" s="7" t="n">
        <v>46049.3458333333</v>
      </c>
      <c r="C159" s="7" t="n">
        <v>46053.9138888889</v>
      </c>
      <c r="D159" s="2" t="s">
        <v>48</v>
      </c>
      <c r="E159" s="2" t="s">
        <v>32</v>
      </c>
      <c r="F159" s="2" t="s">
        <v>24</v>
      </c>
      <c r="G159" s="2" t="s">
        <v>25</v>
      </c>
      <c r="H159" s="2" t="n">
        <v>1</v>
      </c>
      <c r="I159" s="2" t="str">
        <f aca="false">IF(C159="","Open","Resolved")</f>
        <v>Resolved</v>
      </c>
      <c r="J159" s="2" t="str">
        <f aca="false">TEXT(B159,"yyyy-mm")</f>
        <v>2026-01</v>
      </c>
      <c r="K159" s="8" t="n">
        <f aca="false">IF(C159="","",ROUND((C159-B159)*24,2))</f>
        <v>109.63</v>
      </c>
      <c r="L159" s="2" t="n">
        <f aca="false">INDEX('SLA Policy'!$B$2:$B$5,MATCH(E159,'SLA Policy'!$A$2:$A$5,0))</f>
        <v>72</v>
      </c>
      <c r="M159" s="2" t="str">
        <f aca="false">IF(K159="","Open",IF(K159&lt;=L159,"Yes","No"))</f>
        <v>No</v>
      </c>
    </row>
    <row r="160" customFormat="false" ht="15" hidden="false" customHeight="false" outlineLevel="0" collapsed="false">
      <c r="A160" s="2" t="s">
        <v>194</v>
      </c>
      <c r="B160" s="7" t="n">
        <v>46049.3854166667</v>
      </c>
      <c r="C160" s="7" t="n">
        <v>46049.8298611111</v>
      </c>
      <c r="D160" s="2" t="s">
        <v>31</v>
      </c>
      <c r="E160" s="2" t="s">
        <v>23</v>
      </c>
      <c r="F160" s="2" t="s">
        <v>27</v>
      </c>
      <c r="G160" s="2" t="s">
        <v>33</v>
      </c>
      <c r="H160" s="2" t="n">
        <v>4</v>
      </c>
      <c r="I160" s="2" t="str">
        <f aca="false">IF(C160="","Open","Resolved")</f>
        <v>Resolved</v>
      </c>
      <c r="J160" s="2" t="str">
        <f aca="false">TEXT(B160,"yyyy-mm")</f>
        <v>2026-01</v>
      </c>
      <c r="K160" s="8" t="n">
        <f aca="false">IF(C160="","",ROUND((C160-B160)*24,2))</f>
        <v>10.67</v>
      </c>
      <c r="L160" s="2" t="n">
        <f aca="false">INDEX('SLA Policy'!$B$2:$B$5,MATCH(E160,'SLA Policy'!$A$2:$A$5,0))</f>
        <v>8</v>
      </c>
      <c r="M160" s="2" t="str">
        <f aca="false">IF(K160="","Open",IF(K160&lt;=L160,"Yes","No"))</f>
        <v>No</v>
      </c>
    </row>
    <row r="161" customFormat="false" ht="15" hidden="false" customHeight="false" outlineLevel="0" collapsed="false">
      <c r="A161" s="2" t="s">
        <v>195</v>
      </c>
      <c r="B161" s="7" t="n">
        <v>46049.4138888889</v>
      </c>
      <c r="C161" s="7" t="n">
        <v>46050.99375</v>
      </c>
      <c r="D161" s="2" t="s">
        <v>31</v>
      </c>
      <c r="E161" s="2" t="s">
        <v>32</v>
      </c>
      <c r="F161" s="2" t="s">
        <v>24</v>
      </c>
      <c r="G161" s="2" t="s">
        <v>33</v>
      </c>
      <c r="H161" s="2" t="n">
        <v>5</v>
      </c>
      <c r="I161" s="2" t="str">
        <f aca="false">IF(C161="","Open","Resolved")</f>
        <v>Resolved</v>
      </c>
      <c r="J161" s="2" t="str">
        <f aca="false">TEXT(B161,"yyyy-mm")</f>
        <v>2026-01</v>
      </c>
      <c r="K161" s="8" t="n">
        <f aca="false">IF(C161="","",ROUND((C161-B161)*24,2))</f>
        <v>37.92</v>
      </c>
      <c r="L161" s="2" t="n">
        <f aca="false">INDEX('SLA Policy'!$B$2:$B$5,MATCH(E161,'SLA Policy'!$A$2:$A$5,0))</f>
        <v>72</v>
      </c>
      <c r="M161" s="2" t="str">
        <f aca="false">IF(K161="","Open",IF(K161&lt;=L161,"Yes","No"))</f>
        <v>Yes</v>
      </c>
    </row>
    <row r="162" customFormat="false" ht="15" hidden="false" customHeight="false" outlineLevel="0" collapsed="false">
      <c r="A162" s="2" t="s">
        <v>196</v>
      </c>
      <c r="B162" s="7" t="n">
        <v>46049.5076388889</v>
      </c>
      <c r="C162" s="7" t="n">
        <v>46051.0104166667</v>
      </c>
      <c r="D162" s="2" t="s">
        <v>31</v>
      </c>
      <c r="E162" s="2" t="s">
        <v>32</v>
      </c>
      <c r="F162" s="2" t="s">
        <v>24</v>
      </c>
      <c r="G162" s="2" t="s">
        <v>33</v>
      </c>
      <c r="H162" s="2" t="n">
        <v>5</v>
      </c>
      <c r="I162" s="2" t="str">
        <f aca="false">IF(C162="","Open","Resolved")</f>
        <v>Resolved</v>
      </c>
      <c r="J162" s="2" t="str">
        <f aca="false">TEXT(B162,"yyyy-mm")</f>
        <v>2026-01</v>
      </c>
      <c r="K162" s="8" t="n">
        <f aca="false">IF(C162="","",ROUND((C162-B162)*24,2))</f>
        <v>36.07</v>
      </c>
      <c r="L162" s="2" t="n">
        <f aca="false">INDEX('SLA Policy'!$B$2:$B$5,MATCH(E162,'SLA Policy'!$A$2:$A$5,0))</f>
        <v>72</v>
      </c>
      <c r="M162" s="2" t="str">
        <f aca="false">IF(K162="","Open",IF(K162&lt;=L162,"Yes","No"))</f>
        <v>Yes</v>
      </c>
    </row>
    <row r="163" customFormat="false" ht="15" hidden="false" customHeight="false" outlineLevel="0" collapsed="false">
      <c r="A163" s="2" t="s">
        <v>197</v>
      </c>
      <c r="B163" s="7" t="n">
        <v>46049.5256944444</v>
      </c>
      <c r="C163" s="7" t="n">
        <v>46051.6041666667</v>
      </c>
      <c r="D163" s="2" t="s">
        <v>31</v>
      </c>
      <c r="E163" s="2" t="s">
        <v>35</v>
      </c>
      <c r="F163" s="2" t="s">
        <v>24</v>
      </c>
      <c r="G163" s="2" t="s">
        <v>33</v>
      </c>
      <c r="H163" s="2" t="n">
        <v>4</v>
      </c>
      <c r="I163" s="2" t="str">
        <f aca="false">IF(C163="","Open","Resolved")</f>
        <v>Resolved</v>
      </c>
      <c r="J163" s="2" t="str">
        <f aca="false">TEXT(B163,"yyyy-mm")</f>
        <v>2026-01</v>
      </c>
      <c r="K163" s="8" t="n">
        <f aca="false">IF(C163="","",ROUND((C163-B163)*24,2))</f>
        <v>49.88</v>
      </c>
      <c r="L163" s="2" t="n">
        <f aca="false">INDEX('SLA Policy'!$B$2:$B$5,MATCH(E163,'SLA Policy'!$A$2:$A$5,0))</f>
        <v>24</v>
      </c>
      <c r="M163" s="2" t="str">
        <f aca="false">IF(K163="","Open",IF(K163&lt;=L163,"Yes","No"))</f>
        <v>No</v>
      </c>
    </row>
    <row r="164" customFormat="false" ht="15" hidden="false" customHeight="false" outlineLevel="0" collapsed="false">
      <c r="A164" s="2" t="s">
        <v>198</v>
      </c>
      <c r="B164" s="7" t="n">
        <v>46049.5458333333</v>
      </c>
      <c r="C164" s="7" t="n">
        <v>46054.9444444445</v>
      </c>
      <c r="D164" s="2" t="s">
        <v>48</v>
      </c>
      <c r="E164" s="2" t="s">
        <v>32</v>
      </c>
      <c r="F164" s="2" t="s">
        <v>38</v>
      </c>
      <c r="G164" s="2" t="s">
        <v>25</v>
      </c>
      <c r="H164" s="2" t="n">
        <v>1</v>
      </c>
      <c r="I164" s="2" t="str">
        <f aca="false">IF(C164="","Open","Resolved")</f>
        <v>Resolved</v>
      </c>
      <c r="J164" s="2" t="str">
        <f aca="false">TEXT(B164,"yyyy-mm")</f>
        <v>2026-01</v>
      </c>
      <c r="K164" s="8" t="n">
        <f aca="false">IF(C164="","",ROUND((C164-B164)*24,2))</f>
        <v>129.57</v>
      </c>
      <c r="L164" s="2" t="n">
        <f aca="false">INDEX('SLA Policy'!$B$2:$B$5,MATCH(E164,'SLA Policy'!$A$2:$A$5,0))</f>
        <v>72</v>
      </c>
      <c r="M164" s="2" t="str">
        <f aca="false">IF(K164="","Open",IF(K164&lt;=L164,"Yes","No"))</f>
        <v>No</v>
      </c>
    </row>
    <row r="165" customFormat="false" ht="15" hidden="false" customHeight="false" outlineLevel="0" collapsed="false">
      <c r="A165" s="2" t="s">
        <v>199</v>
      </c>
      <c r="B165" s="7" t="n">
        <v>46049.6055555556</v>
      </c>
      <c r="C165" s="7" t="n">
        <v>46050.1840277778</v>
      </c>
      <c r="D165" s="2" t="s">
        <v>48</v>
      </c>
      <c r="E165" s="2" t="s">
        <v>23</v>
      </c>
      <c r="F165" s="2" t="s">
        <v>28</v>
      </c>
      <c r="G165" s="2" t="s">
        <v>25</v>
      </c>
      <c r="H165" s="2" t="n">
        <v>4</v>
      </c>
      <c r="I165" s="2" t="str">
        <f aca="false">IF(C165="","Open","Resolved")</f>
        <v>Resolved</v>
      </c>
      <c r="J165" s="2" t="str">
        <f aca="false">TEXT(B165,"yyyy-mm")</f>
        <v>2026-01</v>
      </c>
      <c r="K165" s="8" t="n">
        <f aca="false">IF(C165="","",ROUND((C165-B165)*24,2))</f>
        <v>13.88</v>
      </c>
      <c r="L165" s="2" t="n">
        <f aca="false">INDEX('SLA Policy'!$B$2:$B$5,MATCH(E165,'SLA Policy'!$A$2:$A$5,0))</f>
        <v>8</v>
      </c>
      <c r="M165" s="2" t="str">
        <f aca="false">IF(K165="","Open",IF(K165&lt;=L165,"Yes","No"))</f>
        <v>No</v>
      </c>
    </row>
    <row r="166" customFormat="false" ht="15" hidden="false" customHeight="false" outlineLevel="0" collapsed="false">
      <c r="A166" s="2" t="s">
        <v>200</v>
      </c>
      <c r="B166" s="7" t="n">
        <v>46049.76875</v>
      </c>
      <c r="C166" s="7" t="n">
        <v>46050.4715277778</v>
      </c>
      <c r="D166" s="2" t="s">
        <v>31</v>
      </c>
      <c r="E166" s="2" t="s">
        <v>35</v>
      </c>
      <c r="F166" s="2" t="s">
        <v>38</v>
      </c>
      <c r="G166" s="2" t="s">
        <v>33</v>
      </c>
      <c r="H166" s="2" t="n">
        <v>4</v>
      </c>
      <c r="I166" s="2" t="str">
        <f aca="false">IF(C166="","Open","Resolved")</f>
        <v>Resolved</v>
      </c>
      <c r="J166" s="2" t="str">
        <f aca="false">TEXT(B166,"yyyy-mm")</f>
        <v>2026-01</v>
      </c>
      <c r="K166" s="8" t="n">
        <f aca="false">IF(C166="","",ROUND((C166-B166)*24,2))</f>
        <v>16.87</v>
      </c>
      <c r="L166" s="2" t="n">
        <f aca="false">INDEX('SLA Policy'!$B$2:$B$5,MATCH(E166,'SLA Policy'!$A$2:$A$5,0))</f>
        <v>24</v>
      </c>
      <c r="M166" s="2" t="str">
        <f aca="false">IF(K166="","Open",IF(K166&lt;=L166,"Yes","No"))</f>
        <v>Yes</v>
      </c>
    </row>
    <row r="167" customFormat="false" ht="15" hidden="false" customHeight="false" outlineLevel="0" collapsed="false">
      <c r="A167" s="2" t="s">
        <v>201</v>
      </c>
      <c r="B167" s="7" t="n">
        <v>46050.3222222222</v>
      </c>
      <c r="C167" s="7" t="n">
        <v>46051.175</v>
      </c>
      <c r="D167" s="2" t="s">
        <v>42</v>
      </c>
      <c r="E167" s="2" t="s">
        <v>35</v>
      </c>
      <c r="F167" s="2" t="s">
        <v>27</v>
      </c>
      <c r="G167" s="2" t="s">
        <v>29</v>
      </c>
      <c r="H167" s="2" t="n">
        <v>4</v>
      </c>
      <c r="I167" s="2" t="str">
        <f aca="false">IF(C167="","Open","Resolved")</f>
        <v>Resolved</v>
      </c>
      <c r="J167" s="2" t="str">
        <f aca="false">TEXT(B167,"yyyy-mm")</f>
        <v>2026-01</v>
      </c>
      <c r="K167" s="8" t="n">
        <f aca="false">IF(C167="","",ROUND((C167-B167)*24,2))</f>
        <v>20.47</v>
      </c>
      <c r="L167" s="2" t="n">
        <f aca="false">INDEX('SLA Policy'!$B$2:$B$5,MATCH(E167,'SLA Policy'!$A$2:$A$5,0))</f>
        <v>24</v>
      </c>
      <c r="M167" s="2" t="str">
        <f aca="false">IF(K167="","Open",IF(K167&lt;=L167,"Yes","No"))</f>
        <v>Yes</v>
      </c>
    </row>
    <row r="168" customFormat="false" ht="15" hidden="false" customHeight="false" outlineLevel="0" collapsed="false">
      <c r="A168" s="2" t="s">
        <v>202</v>
      </c>
      <c r="B168" s="7" t="n">
        <v>46050.3972222222</v>
      </c>
      <c r="C168" s="7" t="n">
        <v>46052.9493055556</v>
      </c>
      <c r="D168" s="2" t="s">
        <v>22</v>
      </c>
      <c r="E168" s="2" t="s">
        <v>35</v>
      </c>
      <c r="F168" s="2" t="s">
        <v>28</v>
      </c>
      <c r="G168" s="2" t="s">
        <v>25</v>
      </c>
      <c r="H168" s="2" t="n">
        <v>1</v>
      </c>
      <c r="I168" s="2" t="str">
        <f aca="false">IF(C168="","Open","Resolved")</f>
        <v>Resolved</v>
      </c>
      <c r="J168" s="2" t="str">
        <f aca="false">TEXT(B168,"yyyy-mm")</f>
        <v>2026-01</v>
      </c>
      <c r="K168" s="8" t="n">
        <f aca="false">IF(C168="","",ROUND((C168-B168)*24,2))</f>
        <v>61.25</v>
      </c>
      <c r="L168" s="2" t="n">
        <f aca="false">INDEX('SLA Policy'!$B$2:$B$5,MATCH(E168,'SLA Policy'!$A$2:$A$5,0))</f>
        <v>24</v>
      </c>
      <c r="M168" s="2" t="str">
        <f aca="false">IF(K168="","Open",IF(K168&lt;=L168,"Yes","No"))</f>
        <v>No</v>
      </c>
    </row>
    <row r="169" customFormat="false" ht="15" hidden="false" customHeight="false" outlineLevel="0" collapsed="false">
      <c r="A169" s="2" t="s">
        <v>203</v>
      </c>
      <c r="B169" s="7" t="n">
        <v>46050.4055555556</v>
      </c>
      <c r="C169" s="7" t="n">
        <v>46053.0694444445</v>
      </c>
      <c r="D169" s="2" t="s">
        <v>48</v>
      </c>
      <c r="E169" s="2" t="s">
        <v>32</v>
      </c>
      <c r="F169" s="2" t="s">
        <v>38</v>
      </c>
      <c r="G169" s="2" t="s">
        <v>25</v>
      </c>
      <c r="H169" s="2" t="n">
        <v>3</v>
      </c>
      <c r="I169" s="2" t="str">
        <f aca="false">IF(C169="","Open","Resolved")</f>
        <v>Resolved</v>
      </c>
      <c r="J169" s="2" t="str">
        <f aca="false">TEXT(B169,"yyyy-mm")</f>
        <v>2026-01</v>
      </c>
      <c r="K169" s="8" t="n">
        <f aca="false">IF(C169="","",ROUND((C169-B169)*24,2))</f>
        <v>63.93</v>
      </c>
      <c r="L169" s="2" t="n">
        <f aca="false">INDEX('SLA Policy'!$B$2:$B$5,MATCH(E169,'SLA Policy'!$A$2:$A$5,0))</f>
        <v>72</v>
      </c>
      <c r="M169" s="2" t="str">
        <f aca="false">IF(K169="","Open",IF(K169&lt;=L169,"Yes","No"))</f>
        <v>Yes</v>
      </c>
    </row>
    <row r="170" customFormat="false" ht="15" hidden="false" customHeight="false" outlineLevel="0" collapsed="false">
      <c r="A170" s="2" t="s">
        <v>204</v>
      </c>
      <c r="B170" s="7" t="n">
        <v>46050.4055555556</v>
      </c>
      <c r="C170" s="7" t="n">
        <v>46051.7013888889</v>
      </c>
      <c r="D170" s="2" t="s">
        <v>48</v>
      </c>
      <c r="E170" s="2" t="s">
        <v>35</v>
      </c>
      <c r="F170" s="2" t="s">
        <v>27</v>
      </c>
      <c r="G170" s="2" t="s">
        <v>25</v>
      </c>
      <c r="H170" s="2" t="n">
        <v>3</v>
      </c>
      <c r="I170" s="2" t="str">
        <f aca="false">IF(C170="","Open","Resolved")</f>
        <v>Resolved</v>
      </c>
      <c r="J170" s="2" t="str">
        <f aca="false">TEXT(B170,"yyyy-mm")</f>
        <v>2026-01</v>
      </c>
      <c r="K170" s="8" t="n">
        <f aca="false">IF(C170="","",ROUND((C170-B170)*24,2))</f>
        <v>31.1</v>
      </c>
      <c r="L170" s="2" t="n">
        <f aca="false">INDEX('SLA Policy'!$B$2:$B$5,MATCH(E170,'SLA Policy'!$A$2:$A$5,0))</f>
        <v>24</v>
      </c>
      <c r="M170" s="2" t="str">
        <f aca="false">IF(K170="","Open",IF(K170&lt;=L170,"Yes","No"))</f>
        <v>No</v>
      </c>
    </row>
    <row r="171" customFormat="false" ht="15" hidden="false" customHeight="false" outlineLevel="0" collapsed="false">
      <c r="A171" s="2" t="s">
        <v>205</v>
      </c>
      <c r="B171" s="7" t="n">
        <v>46050.4118055556</v>
      </c>
      <c r="C171" s="7" t="n">
        <v>46057.8875</v>
      </c>
      <c r="D171" s="2" t="s">
        <v>48</v>
      </c>
      <c r="E171" s="2" t="s">
        <v>32</v>
      </c>
      <c r="F171" s="2" t="s">
        <v>38</v>
      </c>
      <c r="G171" s="2" t="s">
        <v>25</v>
      </c>
      <c r="H171" s="2" t="n">
        <v>1</v>
      </c>
      <c r="I171" s="2" t="str">
        <f aca="false">IF(C171="","Open","Resolved")</f>
        <v>Resolved</v>
      </c>
      <c r="J171" s="2" t="str">
        <f aca="false">TEXT(B171,"yyyy-mm")</f>
        <v>2026-01</v>
      </c>
      <c r="K171" s="8" t="n">
        <f aca="false">IF(C171="","",ROUND((C171-B171)*24,2))</f>
        <v>179.42</v>
      </c>
      <c r="L171" s="2" t="n">
        <f aca="false">INDEX('SLA Policy'!$B$2:$B$5,MATCH(E171,'SLA Policy'!$A$2:$A$5,0))</f>
        <v>72</v>
      </c>
      <c r="M171" s="2" t="str">
        <f aca="false">IF(K171="","Open",IF(K171&lt;=L171,"Yes","No"))</f>
        <v>No</v>
      </c>
    </row>
    <row r="172" customFormat="false" ht="15" hidden="false" customHeight="false" outlineLevel="0" collapsed="false">
      <c r="A172" s="2" t="s">
        <v>206</v>
      </c>
      <c r="B172" s="7" t="n">
        <v>46050.4145833333</v>
      </c>
      <c r="C172" s="7" t="n">
        <v>46050.7583333333</v>
      </c>
      <c r="D172" s="2" t="s">
        <v>42</v>
      </c>
      <c r="E172" s="2" t="s">
        <v>23</v>
      </c>
      <c r="F172" s="2" t="s">
        <v>38</v>
      </c>
      <c r="G172" s="2" t="s">
        <v>29</v>
      </c>
      <c r="H172" s="2" t="n">
        <v>4</v>
      </c>
      <c r="I172" s="2" t="str">
        <f aca="false">IF(C172="","Open","Resolved")</f>
        <v>Resolved</v>
      </c>
      <c r="J172" s="2" t="str">
        <f aca="false">TEXT(B172,"yyyy-mm")</f>
        <v>2026-01</v>
      </c>
      <c r="K172" s="8" t="n">
        <f aca="false">IF(C172="","",ROUND((C172-B172)*24,2))</f>
        <v>8.25</v>
      </c>
      <c r="L172" s="2" t="n">
        <f aca="false">INDEX('SLA Policy'!$B$2:$B$5,MATCH(E172,'SLA Policy'!$A$2:$A$5,0))</f>
        <v>8</v>
      </c>
      <c r="M172" s="2" t="str">
        <f aca="false">IF(K172="","Open",IF(K172&lt;=L172,"Yes","No"))</f>
        <v>No</v>
      </c>
    </row>
    <row r="173" customFormat="false" ht="15" hidden="false" customHeight="false" outlineLevel="0" collapsed="false">
      <c r="A173" s="2" t="s">
        <v>207</v>
      </c>
      <c r="B173" s="7" t="n">
        <v>46050.4569444444</v>
      </c>
      <c r="C173" s="7" t="n">
        <v>46050.5986111111</v>
      </c>
      <c r="D173" s="2" t="s">
        <v>42</v>
      </c>
      <c r="E173" s="2" t="s">
        <v>23</v>
      </c>
      <c r="F173" s="2" t="s">
        <v>24</v>
      </c>
      <c r="G173" s="2" t="s">
        <v>29</v>
      </c>
      <c r="H173" s="2" t="n">
        <v>5</v>
      </c>
      <c r="I173" s="2" t="str">
        <f aca="false">IF(C173="","Open","Resolved")</f>
        <v>Resolved</v>
      </c>
      <c r="J173" s="2" t="str">
        <f aca="false">TEXT(B173,"yyyy-mm")</f>
        <v>2026-01</v>
      </c>
      <c r="K173" s="8" t="n">
        <f aca="false">IF(C173="","",ROUND((C173-B173)*24,2))</f>
        <v>3.4</v>
      </c>
      <c r="L173" s="2" t="n">
        <f aca="false">INDEX('SLA Policy'!$B$2:$B$5,MATCH(E173,'SLA Policy'!$A$2:$A$5,0))</f>
        <v>8</v>
      </c>
      <c r="M173" s="2" t="str">
        <f aca="false">IF(K173="","Open",IF(K173&lt;=L173,"Yes","No"))</f>
        <v>Yes</v>
      </c>
    </row>
    <row r="174" customFormat="false" ht="15" hidden="false" customHeight="false" outlineLevel="0" collapsed="false">
      <c r="A174" s="2" t="s">
        <v>208</v>
      </c>
      <c r="B174" s="7" t="n">
        <v>46050.4604166667</v>
      </c>
      <c r="C174" s="7" t="n">
        <v>46053.1965277778</v>
      </c>
      <c r="D174" s="2" t="s">
        <v>22</v>
      </c>
      <c r="E174" s="2" t="s">
        <v>32</v>
      </c>
      <c r="F174" s="2" t="s">
        <v>24</v>
      </c>
      <c r="G174" s="2" t="s">
        <v>25</v>
      </c>
      <c r="H174" s="2" t="n">
        <v>3</v>
      </c>
      <c r="I174" s="2" t="str">
        <f aca="false">IF(C174="","Open","Resolved")</f>
        <v>Resolved</v>
      </c>
      <c r="J174" s="2" t="str">
        <f aca="false">TEXT(B174,"yyyy-mm")</f>
        <v>2026-01</v>
      </c>
      <c r="K174" s="8" t="n">
        <f aca="false">IF(C174="","",ROUND((C174-B174)*24,2))</f>
        <v>65.67</v>
      </c>
      <c r="L174" s="2" t="n">
        <f aca="false">INDEX('SLA Policy'!$B$2:$B$5,MATCH(E174,'SLA Policy'!$A$2:$A$5,0))</f>
        <v>72</v>
      </c>
      <c r="M174" s="2" t="str">
        <f aca="false">IF(K174="","Open",IF(K174&lt;=L174,"Yes","No"))</f>
        <v>Yes</v>
      </c>
    </row>
    <row r="175" customFormat="false" ht="15" hidden="false" customHeight="false" outlineLevel="0" collapsed="false">
      <c r="A175" s="2" t="s">
        <v>209</v>
      </c>
      <c r="B175" s="7" t="n">
        <v>46050.4666666667</v>
      </c>
      <c r="C175" s="7" t="n">
        <v>46051.71875</v>
      </c>
      <c r="D175" s="2" t="s">
        <v>22</v>
      </c>
      <c r="E175" s="2" t="s">
        <v>35</v>
      </c>
      <c r="F175" s="2" t="s">
        <v>38</v>
      </c>
      <c r="G175" s="2" t="s">
        <v>25</v>
      </c>
      <c r="H175" s="2" t="n">
        <v>5</v>
      </c>
      <c r="I175" s="2" t="str">
        <f aca="false">IF(C175="","Open","Resolved")</f>
        <v>Resolved</v>
      </c>
      <c r="J175" s="2" t="str">
        <f aca="false">TEXT(B175,"yyyy-mm")</f>
        <v>2026-01</v>
      </c>
      <c r="K175" s="8" t="n">
        <f aca="false">IF(C175="","",ROUND((C175-B175)*24,2))</f>
        <v>30.05</v>
      </c>
      <c r="L175" s="2" t="n">
        <f aca="false">INDEX('SLA Policy'!$B$2:$B$5,MATCH(E175,'SLA Policy'!$A$2:$A$5,0))</f>
        <v>24</v>
      </c>
      <c r="M175" s="2" t="str">
        <f aca="false">IF(K175="","Open",IF(K175&lt;=L175,"Yes","No"))</f>
        <v>No</v>
      </c>
    </row>
    <row r="176" customFormat="false" ht="15" hidden="false" customHeight="false" outlineLevel="0" collapsed="false">
      <c r="A176" s="2" t="s">
        <v>210</v>
      </c>
      <c r="B176" s="7" t="n">
        <v>46050.5138888889</v>
      </c>
      <c r="C176" s="7" t="n">
        <v>46050.7569444445</v>
      </c>
      <c r="D176" s="2" t="s">
        <v>31</v>
      </c>
      <c r="E176" s="2" t="s">
        <v>40</v>
      </c>
      <c r="F176" s="2" t="s">
        <v>24</v>
      </c>
      <c r="G176" s="2" t="s">
        <v>33</v>
      </c>
      <c r="H176" s="2" t="n">
        <v>4</v>
      </c>
      <c r="I176" s="2" t="str">
        <f aca="false">IF(C176="","Open","Resolved")</f>
        <v>Resolved</v>
      </c>
      <c r="J176" s="2" t="str">
        <f aca="false">TEXT(B176,"yyyy-mm")</f>
        <v>2026-01</v>
      </c>
      <c r="K176" s="8" t="n">
        <f aca="false">IF(C176="","",ROUND((C176-B176)*24,2))</f>
        <v>5.83</v>
      </c>
      <c r="L176" s="2" t="n">
        <f aca="false">INDEX('SLA Policy'!$B$2:$B$5,MATCH(E176,'SLA Policy'!$A$2:$A$5,0))</f>
        <v>4</v>
      </c>
      <c r="M176" s="2" t="str">
        <f aca="false">IF(K176="","Open",IF(K176&lt;=L176,"Yes","No"))</f>
        <v>No</v>
      </c>
    </row>
    <row r="177" customFormat="false" ht="15" hidden="false" customHeight="false" outlineLevel="0" collapsed="false">
      <c r="A177" s="2" t="s">
        <v>211</v>
      </c>
      <c r="B177" s="7" t="n">
        <v>46050.5326388889</v>
      </c>
      <c r="C177" s="7" t="n">
        <v>46052.4784722222</v>
      </c>
      <c r="D177" s="2" t="s">
        <v>22</v>
      </c>
      <c r="E177" s="2" t="s">
        <v>35</v>
      </c>
      <c r="F177" s="2" t="s">
        <v>38</v>
      </c>
      <c r="G177" s="2" t="s">
        <v>25</v>
      </c>
      <c r="H177" s="2" t="n">
        <v>4</v>
      </c>
      <c r="I177" s="2" t="str">
        <f aca="false">IF(C177="","Open","Resolved")</f>
        <v>Resolved</v>
      </c>
      <c r="J177" s="2" t="str">
        <f aca="false">TEXT(B177,"yyyy-mm")</f>
        <v>2026-01</v>
      </c>
      <c r="K177" s="8" t="n">
        <f aca="false">IF(C177="","",ROUND((C177-B177)*24,2))</f>
        <v>46.7</v>
      </c>
      <c r="L177" s="2" t="n">
        <f aca="false">INDEX('SLA Policy'!$B$2:$B$5,MATCH(E177,'SLA Policy'!$A$2:$A$5,0))</f>
        <v>24</v>
      </c>
      <c r="M177" s="2" t="str">
        <f aca="false">IF(K177="","Open",IF(K177&lt;=L177,"Yes","No"))</f>
        <v>No</v>
      </c>
    </row>
    <row r="178" customFormat="false" ht="15" hidden="false" customHeight="false" outlineLevel="0" collapsed="false">
      <c r="A178" s="2" t="s">
        <v>212</v>
      </c>
      <c r="B178" s="7" t="n">
        <v>46050.5958333333</v>
      </c>
      <c r="C178" s="7" t="n">
        <v>46051.4388888889</v>
      </c>
      <c r="D178" s="2" t="s">
        <v>42</v>
      </c>
      <c r="E178" s="2" t="s">
        <v>32</v>
      </c>
      <c r="F178" s="2" t="s">
        <v>27</v>
      </c>
      <c r="G178" s="2" t="s">
        <v>29</v>
      </c>
      <c r="H178" s="2" t="n">
        <v>4</v>
      </c>
      <c r="I178" s="2" t="str">
        <f aca="false">IF(C178="","Open","Resolved")</f>
        <v>Resolved</v>
      </c>
      <c r="J178" s="2" t="str">
        <f aca="false">TEXT(B178,"yyyy-mm")</f>
        <v>2026-01</v>
      </c>
      <c r="K178" s="8" t="n">
        <f aca="false">IF(C178="","",ROUND((C178-B178)*24,2))</f>
        <v>20.23</v>
      </c>
      <c r="L178" s="2" t="n">
        <f aca="false">INDEX('SLA Policy'!$B$2:$B$5,MATCH(E178,'SLA Policy'!$A$2:$A$5,0))</f>
        <v>72</v>
      </c>
      <c r="M178" s="2" t="str">
        <f aca="false">IF(K178="","Open",IF(K178&lt;=L178,"Yes","No"))</f>
        <v>Yes</v>
      </c>
    </row>
    <row r="179" customFormat="false" ht="15" hidden="false" customHeight="false" outlineLevel="0" collapsed="false">
      <c r="A179" s="2" t="s">
        <v>213</v>
      </c>
      <c r="B179" s="7" t="n">
        <v>46050.70625</v>
      </c>
      <c r="C179" s="7" t="n">
        <v>46053.7347222222</v>
      </c>
      <c r="D179" s="2" t="s">
        <v>48</v>
      </c>
      <c r="E179" s="2" t="s">
        <v>35</v>
      </c>
      <c r="F179" s="2" t="s">
        <v>38</v>
      </c>
      <c r="G179" s="2" t="s">
        <v>25</v>
      </c>
      <c r="H179" s="2" t="n">
        <v>2</v>
      </c>
      <c r="I179" s="2" t="str">
        <f aca="false">IF(C179="","Open","Resolved")</f>
        <v>Resolved</v>
      </c>
      <c r="J179" s="2" t="str">
        <f aca="false">TEXT(B179,"yyyy-mm")</f>
        <v>2026-01</v>
      </c>
      <c r="K179" s="8" t="n">
        <f aca="false">IF(C179="","",ROUND((C179-B179)*24,2))</f>
        <v>72.68</v>
      </c>
      <c r="L179" s="2" t="n">
        <f aca="false">INDEX('SLA Policy'!$B$2:$B$5,MATCH(E179,'SLA Policy'!$A$2:$A$5,0))</f>
        <v>24</v>
      </c>
      <c r="M179" s="2" t="str">
        <f aca="false">IF(K179="","Open",IF(K179&lt;=L179,"Yes","No"))</f>
        <v>No</v>
      </c>
    </row>
    <row r="180" customFormat="false" ht="15" hidden="false" customHeight="false" outlineLevel="0" collapsed="false">
      <c r="A180" s="2" t="s">
        <v>214</v>
      </c>
      <c r="B180" s="7" t="n">
        <v>46050.7458333333</v>
      </c>
      <c r="C180" s="7" t="n">
        <v>46051.4958333333</v>
      </c>
      <c r="D180" s="2" t="s">
        <v>42</v>
      </c>
      <c r="E180" s="2" t="s">
        <v>32</v>
      </c>
      <c r="F180" s="2" t="s">
        <v>24</v>
      </c>
      <c r="G180" s="2" t="s">
        <v>29</v>
      </c>
      <c r="H180" s="2" t="n">
        <v>5</v>
      </c>
      <c r="I180" s="2" t="str">
        <f aca="false">IF(C180="","Open","Resolved")</f>
        <v>Resolved</v>
      </c>
      <c r="J180" s="2" t="str">
        <f aca="false">TEXT(B180,"yyyy-mm")</f>
        <v>2026-01</v>
      </c>
      <c r="K180" s="8" t="n">
        <f aca="false">IF(C180="","",ROUND((C180-B180)*24,2))</f>
        <v>18</v>
      </c>
      <c r="L180" s="2" t="n">
        <f aca="false">INDEX('SLA Policy'!$B$2:$B$5,MATCH(E180,'SLA Policy'!$A$2:$A$5,0))</f>
        <v>72</v>
      </c>
      <c r="M180" s="2" t="str">
        <f aca="false">IF(K180="","Open",IF(K180&lt;=L180,"Yes","No"))</f>
        <v>Yes</v>
      </c>
    </row>
    <row r="181" customFormat="false" ht="15" hidden="false" customHeight="false" outlineLevel="0" collapsed="false">
      <c r="A181" s="2" t="s">
        <v>215</v>
      </c>
      <c r="B181" s="7" t="n">
        <v>46050.7868055556</v>
      </c>
      <c r="C181" s="7" t="n">
        <v>46050.9902777778</v>
      </c>
      <c r="D181" s="2" t="s">
        <v>22</v>
      </c>
      <c r="E181" s="2" t="s">
        <v>40</v>
      </c>
      <c r="F181" s="2" t="s">
        <v>28</v>
      </c>
      <c r="G181" s="2" t="s">
        <v>25</v>
      </c>
      <c r="H181" s="2" t="n">
        <v>4</v>
      </c>
      <c r="I181" s="2" t="str">
        <f aca="false">IF(C181="","Open","Resolved")</f>
        <v>Resolved</v>
      </c>
      <c r="J181" s="2" t="str">
        <f aca="false">TEXT(B181,"yyyy-mm")</f>
        <v>2026-01</v>
      </c>
      <c r="K181" s="8" t="n">
        <f aca="false">IF(C181="","",ROUND((C181-B181)*24,2))</f>
        <v>4.88</v>
      </c>
      <c r="L181" s="2" t="n">
        <f aca="false">INDEX('SLA Policy'!$B$2:$B$5,MATCH(E181,'SLA Policy'!$A$2:$A$5,0))</f>
        <v>4</v>
      </c>
      <c r="M181" s="2" t="str">
        <f aca="false">IF(K181="","Open",IF(K181&lt;=L181,"Yes","No"))</f>
        <v>No</v>
      </c>
    </row>
    <row r="182" customFormat="false" ht="15" hidden="false" customHeight="false" outlineLevel="0" collapsed="false">
      <c r="A182" s="2" t="s">
        <v>216</v>
      </c>
      <c r="B182" s="7" t="n">
        <v>46051.5013888889</v>
      </c>
      <c r="C182" s="7" t="n">
        <v>46051.8909722222</v>
      </c>
      <c r="D182" s="2" t="s">
        <v>42</v>
      </c>
      <c r="E182" s="2" t="s">
        <v>35</v>
      </c>
      <c r="F182" s="2" t="s">
        <v>24</v>
      </c>
      <c r="G182" s="2" t="s">
        <v>29</v>
      </c>
      <c r="H182" s="2" t="n">
        <v>5</v>
      </c>
      <c r="I182" s="2" t="str">
        <f aca="false">IF(C182="","Open","Resolved")</f>
        <v>Resolved</v>
      </c>
      <c r="J182" s="2" t="str">
        <f aca="false">TEXT(B182,"yyyy-mm")</f>
        <v>2026-01</v>
      </c>
      <c r="K182" s="8" t="n">
        <f aca="false">IF(C182="","",ROUND((C182-B182)*24,2))</f>
        <v>9.35</v>
      </c>
      <c r="L182" s="2" t="n">
        <f aca="false">INDEX('SLA Policy'!$B$2:$B$5,MATCH(E182,'SLA Policy'!$A$2:$A$5,0))</f>
        <v>24</v>
      </c>
      <c r="M182" s="2" t="str">
        <f aca="false">IF(K182="","Open",IF(K182&lt;=L182,"Yes","No"))</f>
        <v>Yes</v>
      </c>
    </row>
    <row r="183" customFormat="false" ht="15" hidden="false" customHeight="false" outlineLevel="0" collapsed="false">
      <c r="A183" s="2" t="s">
        <v>217</v>
      </c>
      <c r="B183" s="7" t="n">
        <v>46051.5222222222</v>
      </c>
      <c r="C183" s="7" t="n">
        <v>46051.6861111111</v>
      </c>
      <c r="D183" s="2" t="s">
        <v>42</v>
      </c>
      <c r="E183" s="2" t="s">
        <v>23</v>
      </c>
      <c r="F183" s="2" t="s">
        <v>28</v>
      </c>
      <c r="G183" s="2" t="s">
        <v>29</v>
      </c>
      <c r="H183" s="2" t="n">
        <v>4</v>
      </c>
      <c r="I183" s="2" t="str">
        <f aca="false">IF(C183="","Open","Resolved")</f>
        <v>Resolved</v>
      </c>
      <c r="J183" s="2" t="str">
        <f aca="false">TEXT(B183,"yyyy-mm")</f>
        <v>2026-01</v>
      </c>
      <c r="K183" s="8" t="n">
        <f aca="false">IF(C183="","",ROUND((C183-B183)*24,2))</f>
        <v>3.93</v>
      </c>
      <c r="L183" s="2" t="n">
        <f aca="false">INDEX('SLA Policy'!$B$2:$B$5,MATCH(E183,'SLA Policy'!$A$2:$A$5,0))</f>
        <v>8</v>
      </c>
      <c r="M183" s="2" t="str">
        <f aca="false">IF(K183="","Open",IF(K183&lt;=L183,"Yes","No"))</f>
        <v>Yes</v>
      </c>
    </row>
    <row r="184" customFormat="false" ht="15" hidden="false" customHeight="false" outlineLevel="0" collapsed="false">
      <c r="A184" s="2" t="s">
        <v>218</v>
      </c>
      <c r="B184" s="7" t="n">
        <v>46051.525</v>
      </c>
      <c r="C184" s="7" t="n">
        <v>46051.7826388889</v>
      </c>
      <c r="D184" s="2" t="s">
        <v>31</v>
      </c>
      <c r="E184" s="2" t="s">
        <v>23</v>
      </c>
      <c r="F184" s="2" t="s">
        <v>24</v>
      </c>
      <c r="G184" s="2" t="s">
        <v>33</v>
      </c>
      <c r="H184" s="2" t="n">
        <v>5</v>
      </c>
      <c r="I184" s="2" t="str">
        <f aca="false">IF(C184="","Open","Resolved")</f>
        <v>Resolved</v>
      </c>
      <c r="J184" s="2" t="str">
        <f aca="false">TEXT(B184,"yyyy-mm")</f>
        <v>2026-01</v>
      </c>
      <c r="K184" s="8" t="n">
        <f aca="false">IF(C184="","",ROUND((C184-B184)*24,2))</f>
        <v>6.18</v>
      </c>
      <c r="L184" s="2" t="n">
        <f aca="false">INDEX('SLA Policy'!$B$2:$B$5,MATCH(E184,'SLA Policy'!$A$2:$A$5,0))</f>
        <v>8</v>
      </c>
      <c r="M184" s="2" t="str">
        <f aca="false">IF(K184="","Open",IF(K184&lt;=L184,"Yes","No"))</f>
        <v>Yes</v>
      </c>
    </row>
    <row r="185" customFormat="false" ht="15" hidden="false" customHeight="false" outlineLevel="0" collapsed="false">
      <c r="A185" s="2" t="s">
        <v>219</v>
      </c>
      <c r="B185" s="7" t="n">
        <v>46051.5423611111</v>
      </c>
      <c r="C185" s="7" t="n">
        <v>46051.6222222222</v>
      </c>
      <c r="D185" s="2" t="s">
        <v>42</v>
      </c>
      <c r="E185" s="2" t="s">
        <v>23</v>
      </c>
      <c r="F185" s="2" t="s">
        <v>27</v>
      </c>
      <c r="G185" s="2" t="s">
        <v>29</v>
      </c>
      <c r="H185" s="2" t="n">
        <v>5</v>
      </c>
      <c r="I185" s="2" t="str">
        <f aca="false">IF(C185="","Open","Resolved")</f>
        <v>Resolved</v>
      </c>
      <c r="J185" s="2" t="str">
        <f aca="false">TEXT(B185,"yyyy-mm")</f>
        <v>2026-01</v>
      </c>
      <c r="K185" s="8" t="n">
        <f aca="false">IF(C185="","",ROUND((C185-B185)*24,2))</f>
        <v>1.92</v>
      </c>
      <c r="L185" s="2" t="n">
        <f aca="false">INDEX('SLA Policy'!$B$2:$B$5,MATCH(E185,'SLA Policy'!$A$2:$A$5,0))</f>
        <v>8</v>
      </c>
      <c r="M185" s="2" t="str">
        <f aca="false">IF(K185="","Open",IF(K185&lt;=L185,"Yes","No"))</f>
        <v>Yes</v>
      </c>
    </row>
    <row r="186" customFormat="false" ht="15" hidden="false" customHeight="false" outlineLevel="0" collapsed="false">
      <c r="A186" s="2" t="s">
        <v>220</v>
      </c>
      <c r="B186" s="7" t="n">
        <v>46051.6361111111</v>
      </c>
      <c r="C186" s="7" t="n">
        <v>46053.2090277778</v>
      </c>
      <c r="D186" s="2" t="s">
        <v>31</v>
      </c>
      <c r="E186" s="2" t="s">
        <v>35</v>
      </c>
      <c r="F186" s="2" t="s">
        <v>38</v>
      </c>
      <c r="G186" s="2" t="s">
        <v>33</v>
      </c>
      <c r="H186" s="2" t="n">
        <v>3</v>
      </c>
      <c r="I186" s="2" t="str">
        <f aca="false">IF(C186="","Open","Resolved")</f>
        <v>Resolved</v>
      </c>
      <c r="J186" s="2" t="str">
        <f aca="false">TEXT(B186,"yyyy-mm")</f>
        <v>2026-01</v>
      </c>
      <c r="K186" s="8" t="n">
        <f aca="false">IF(C186="","",ROUND((C186-B186)*24,2))</f>
        <v>37.75</v>
      </c>
      <c r="L186" s="2" t="n">
        <f aca="false">INDEX('SLA Policy'!$B$2:$B$5,MATCH(E186,'SLA Policy'!$A$2:$A$5,0))</f>
        <v>24</v>
      </c>
      <c r="M186" s="2" t="str">
        <f aca="false">IF(K186="","Open",IF(K186&lt;=L186,"Yes","No"))</f>
        <v>No</v>
      </c>
    </row>
    <row r="187" customFormat="false" ht="15" hidden="false" customHeight="false" outlineLevel="0" collapsed="false">
      <c r="A187" s="2" t="s">
        <v>221</v>
      </c>
      <c r="B187" s="7" t="n">
        <v>46051.6618055556</v>
      </c>
      <c r="C187" s="7" t="n">
        <v>46053.2166666667</v>
      </c>
      <c r="D187" s="2" t="s">
        <v>31</v>
      </c>
      <c r="E187" s="2" t="s">
        <v>35</v>
      </c>
      <c r="F187" s="2" t="s">
        <v>24</v>
      </c>
      <c r="G187" s="2" t="s">
        <v>33</v>
      </c>
      <c r="H187" s="2" t="n">
        <v>2</v>
      </c>
      <c r="I187" s="2" t="str">
        <f aca="false">IF(C187="","Open","Resolved")</f>
        <v>Resolved</v>
      </c>
      <c r="J187" s="2" t="str">
        <f aca="false">TEXT(B187,"yyyy-mm")</f>
        <v>2026-01</v>
      </c>
      <c r="K187" s="8" t="n">
        <f aca="false">IF(C187="","",ROUND((C187-B187)*24,2))</f>
        <v>37.32</v>
      </c>
      <c r="L187" s="2" t="n">
        <f aca="false">INDEX('SLA Policy'!$B$2:$B$5,MATCH(E187,'SLA Policy'!$A$2:$A$5,0))</f>
        <v>24</v>
      </c>
      <c r="M187" s="2" t="str">
        <f aca="false">IF(K187="","Open",IF(K187&lt;=L187,"Yes","No"))</f>
        <v>No</v>
      </c>
    </row>
    <row r="188" customFormat="false" ht="15" hidden="false" customHeight="false" outlineLevel="0" collapsed="false">
      <c r="A188" s="2" t="s">
        <v>222</v>
      </c>
      <c r="B188" s="7" t="n">
        <v>46051.6715277778</v>
      </c>
      <c r="C188" s="7" t="n">
        <v>46052.6263888889</v>
      </c>
      <c r="D188" s="2" t="s">
        <v>31</v>
      </c>
      <c r="E188" s="2" t="s">
        <v>35</v>
      </c>
      <c r="F188" s="2" t="s">
        <v>27</v>
      </c>
      <c r="G188" s="2" t="s">
        <v>33</v>
      </c>
      <c r="H188" s="2" t="n">
        <v>4</v>
      </c>
      <c r="I188" s="2" t="str">
        <f aca="false">IF(C188="","Open","Resolved")</f>
        <v>Resolved</v>
      </c>
      <c r="J188" s="2" t="str">
        <f aca="false">TEXT(B188,"yyyy-mm")</f>
        <v>2026-01</v>
      </c>
      <c r="K188" s="8" t="n">
        <f aca="false">IF(C188="","",ROUND((C188-B188)*24,2))</f>
        <v>22.92</v>
      </c>
      <c r="L188" s="2" t="n">
        <f aca="false">INDEX('SLA Policy'!$B$2:$B$5,MATCH(E188,'SLA Policy'!$A$2:$A$5,0))</f>
        <v>24</v>
      </c>
      <c r="M188" s="2" t="str">
        <f aca="false">IF(K188="","Open",IF(K188&lt;=L188,"Yes","No"))</f>
        <v>Yes</v>
      </c>
    </row>
    <row r="189" customFormat="false" ht="15" hidden="false" customHeight="false" outlineLevel="0" collapsed="false">
      <c r="A189" s="2" t="s">
        <v>223</v>
      </c>
      <c r="B189" s="7" t="n">
        <v>46051.7506944445</v>
      </c>
      <c r="C189" s="7" t="n">
        <v>46052.9319444444</v>
      </c>
      <c r="D189" s="2" t="s">
        <v>48</v>
      </c>
      <c r="E189" s="2" t="s">
        <v>35</v>
      </c>
      <c r="F189" s="2" t="s">
        <v>24</v>
      </c>
      <c r="G189" s="2" t="s">
        <v>25</v>
      </c>
      <c r="H189" s="2" t="n">
        <v>5</v>
      </c>
      <c r="I189" s="2" t="str">
        <f aca="false">IF(C189="","Open","Resolved")</f>
        <v>Resolved</v>
      </c>
      <c r="J189" s="2" t="str">
        <f aca="false">TEXT(B189,"yyyy-mm")</f>
        <v>2026-01</v>
      </c>
      <c r="K189" s="8" t="n">
        <f aca="false">IF(C189="","",ROUND((C189-B189)*24,2))</f>
        <v>28.35</v>
      </c>
      <c r="L189" s="2" t="n">
        <f aca="false">INDEX('SLA Policy'!$B$2:$B$5,MATCH(E189,'SLA Policy'!$A$2:$A$5,0))</f>
        <v>24</v>
      </c>
      <c r="M189" s="2" t="str">
        <f aca="false">IF(K189="","Open",IF(K189&lt;=L189,"Yes","No"))</f>
        <v>No</v>
      </c>
    </row>
    <row r="190" customFormat="false" ht="15" hidden="false" customHeight="false" outlineLevel="0" collapsed="false">
      <c r="A190" s="2" t="s">
        <v>224</v>
      </c>
      <c r="B190" s="7" t="n">
        <v>46051.7715277778</v>
      </c>
      <c r="C190" s="7" t="n">
        <v>46052.2409722222</v>
      </c>
      <c r="D190" s="2" t="s">
        <v>27</v>
      </c>
      <c r="E190" s="2" t="s">
        <v>35</v>
      </c>
      <c r="F190" s="2" t="s">
        <v>27</v>
      </c>
      <c r="G190" s="2" t="s">
        <v>29</v>
      </c>
      <c r="H190" s="2" t="n">
        <v>3</v>
      </c>
      <c r="I190" s="2" t="str">
        <f aca="false">IF(C190="","Open","Resolved")</f>
        <v>Resolved</v>
      </c>
      <c r="J190" s="2" t="str">
        <f aca="false">TEXT(B190,"yyyy-mm")</f>
        <v>2026-01</v>
      </c>
      <c r="K190" s="8" t="n">
        <f aca="false">IF(C190="","",ROUND((C190-B190)*24,2))</f>
        <v>11.27</v>
      </c>
      <c r="L190" s="2" t="n">
        <f aca="false">INDEX('SLA Policy'!$B$2:$B$5,MATCH(E190,'SLA Policy'!$A$2:$A$5,0))</f>
        <v>24</v>
      </c>
      <c r="M190" s="2" t="str">
        <f aca="false">IF(K190="","Open",IF(K190&lt;=L190,"Yes","No"))</f>
        <v>Yes</v>
      </c>
    </row>
    <row r="191" customFormat="false" ht="15" hidden="false" customHeight="false" outlineLevel="0" collapsed="false">
      <c r="A191" s="2" t="s">
        <v>225</v>
      </c>
      <c r="B191" s="7" t="n">
        <v>46052.35625</v>
      </c>
      <c r="C191" s="7" t="n">
        <v>46052.7263888889</v>
      </c>
      <c r="D191" s="2" t="s">
        <v>42</v>
      </c>
      <c r="E191" s="2" t="s">
        <v>35</v>
      </c>
      <c r="F191" s="2" t="s">
        <v>27</v>
      </c>
      <c r="G191" s="2" t="s">
        <v>29</v>
      </c>
      <c r="H191" s="2" t="n">
        <v>5</v>
      </c>
      <c r="I191" s="2" t="str">
        <f aca="false">IF(C191="","Open","Resolved")</f>
        <v>Resolved</v>
      </c>
      <c r="J191" s="2" t="str">
        <f aca="false">TEXT(B191,"yyyy-mm")</f>
        <v>2026-01</v>
      </c>
      <c r="K191" s="8" t="n">
        <f aca="false">IF(C191="","",ROUND((C191-B191)*24,2))</f>
        <v>8.88</v>
      </c>
      <c r="L191" s="2" t="n">
        <f aca="false">INDEX('SLA Policy'!$B$2:$B$5,MATCH(E191,'SLA Policy'!$A$2:$A$5,0))</f>
        <v>24</v>
      </c>
      <c r="M191" s="2" t="str">
        <f aca="false">IF(K191="","Open",IF(K191&lt;=L191,"Yes","No"))</f>
        <v>Yes</v>
      </c>
    </row>
    <row r="192" customFormat="false" ht="15" hidden="false" customHeight="false" outlineLevel="0" collapsed="false">
      <c r="A192" s="2" t="s">
        <v>226</v>
      </c>
      <c r="B192" s="7" t="n">
        <v>46052.4451388889</v>
      </c>
      <c r="C192" s="7" t="n">
        <v>46052.5354166667</v>
      </c>
      <c r="D192" s="2" t="s">
        <v>31</v>
      </c>
      <c r="E192" s="2" t="s">
        <v>40</v>
      </c>
      <c r="F192" s="2" t="s">
        <v>27</v>
      </c>
      <c r="G192" s="2" t="s">
        <v>33</v>
      </c>
      <c r="H192" s="2" t="n">
        <v>5</v>
      </c>
      <c r="I192" s="2" t="str">
        <f aca="false">IF(C192="","Open","Resolved")</f>
        <v>Resolved</v>
      </c>
      <c r="J192" s="2" t="str">
        <f aca="false">TEXT(B192,"yyyy-mm")</f>
        <v>2026-01</v>
      </c>
      <c r="K192" s="8" t="n">
        <f aca="false">IF(C192="","",ROUND((C192-B192)*24,2))</f>
        <v>2.17</v>
      </c>
      <c r="L192" s="2" t="n">
        <f aca="false">INDEX('SLA Policy'!$B$2:$B$5,MATCH(E192,'SLA Policy'!$A$2:$A$5,0))</f>
        <v>4</v>
      </c>
      <c r="M192" s="2" t="str">
        <f aca="false">IF(K192="","Open",IF(K192&lt;=L192,"Yes","No"))</f>
        <v>Yes</v>
      </c>
    </row>
    <row r="193" customFormat="false" ht="15" hidden="false" customHeight="false" outlineLevel="0" collapsed="false">
      <c r="A193" s="2" t="s">
        <v>227</v>
      </c>
      <c r="B193" s="7" t="n">
        <v>46052.475</v>
      </c>
      <c r="C193" s="7" t="n">
        <v>46052.7333333333</v>
      </c>
      <c r="D193" s="2" t="s">
        <v>27</v>
      </c>
      <c r="E193" s="2" t="s">
        <v>23</v>
      </c>
      <c r="F193" s="2" t="s">
        <v>27</v>
      </c>
      <c r="G193" s="2" t="s">
        <v>29</v>
      </c>
      <c r="H193" s="2" t="n">
        <v>5</v>
      </c>
      <c r="I193" s="2" t="str">
        <f aca="false">IF(C193="","Open","Resolved")</f>
        <v>Resolved</v>
      </c>
      <c r="J193" s="2" t="str">
        <f aca="false">TEXT(B193,"yyyy-mm")</f>
        <v>2026-01</v>
      </c>
      <c r="K193" s="8" t="n">
        <f aca="false">IF(C193="","",ROUND((C193-B193)*24,2))</f>
        <v>6.2</v>
      </c>
      <c r="L193" s="2" t="n">
        <f aca="false">INDEX('SLA Policy'!$B$2:$B$5,MATCH(E193,'SLA Policy'!$A$2:$A$5,0))</f>
        <v>8</v>
      </c>
      <c r="M193" s="2" t="str">
        <f aca="false">IF(K193="","Open",IF(K193&lt;=L193,"Yes","No"))</f>
        <v>Yes</v>
      </c>
    </row>
    <row r="194" customFormat="false" ht="15" hidden="false" customHeight="false" outlineLevel="0" collapsed="false">
      <c r="A194" s="2" t="s">
        <v>228</v>
      </c>
      <c r="B194" s="7" t="n">
        <v>46052.5631944445</v>
      </c>
      <c r="C194" s="7" t="n">
        <v>46053.4722222222</v>
      </c>
      <c r="D194" s="2" t="s">
        <v>42</v>
      </c>
      <c r="E194" s="2" t="s">
        <v>32</v>
      </c>
      <c r="F194" s="2" t="s">
        <v>27</v>
      </c>
      <c r="G194" s="2" t="s">
        <v>29</v>
      </c>
      <c r="H194" s="2" t="n">
        <v>5</v>
      </c>
      <c r="I194" s="2" t="str">
        <f aca="false">IF(C194="","Open","Resolved")</f>
        <v>Resolved</v>
      </c>
      <c r="J194" s="2" t="str">
        <f aca="false">TEXT(B194,"yyyy-mm")</f>
        <v>2026-01</v>
      </c>
      <c r="K194" s="8" t="n">
        <f aca="false">IF(C194="","",ROUND((C194-B194)*24,2))</f>
        <v>21.82</v>
      </c>
      <c r="L194" s="2" t="n">
        <f aca="false">INDEX('SLA Policy'!$B$2:$B$5,MATCH(E194,'SLA Policy'!$A$2:$A$5,0))</f>
        <v>72</v>
      </c>
      <c r="M194" s="2" t="str">
        <f aca="false">IF(K194="","Open",IF(K194&lt;=L194,"Yes","No"))</f>
        <v>Yes</v>
      </c>
    </row>
    <row r="195" customFormat="false" ht="15" hidden="false" customHeight="false" outlineLevel="0" collapsed="false">
      <c r="A195" s="2" t="s">
        <v>229</v>
      </c>
      <c r="B195" s="7" t="n">
        <v>46052.6847222222</v>
      </c>
      <c r="C195" s="7" t="n">
        <v>46053.0173611111</v>
      </c>
      <c r="D195" s="2" t="s">
        <v>27</v>
      </c>
      <c r="E195" s="2" t="s">
        <v>35</v>
      </c>
      <c r="F195" s="2" t="s">
        <v>28</v>
      </c>
      <c r="G195" s="2" t="s">
        <v>29</v>
      </c>
      <c r="H195" s="2" t="n">
        <v>5</v>
      </c>
      <c r="I195" s="2" t="str">
        <f aca="false">IF(C195="","Open","Resolved")</f>
        <v>Resolved</v>
      </c>
      <c r="J195" s="2" t="str">
        <f aca="false">TEXT(B195,"yyyy-mm")</f>
        <v>2026-01</v>
      </c>
      <c r="K195" s="8" t="n">
        <f aca="false">IF(C195="","",ROUND((C195-B195)*24,2))</f>
        <v>7.98</v>
      </c>
      <c r="L195" s="2" t="n">
        <f aca="false">INDEX('SLA Policy'!$B$2:$B$5,MATCH(E195,'SLA Policy'!$A$2:$A$5,0))</f>
        <v>24</v>
      </c>
      <c r="M195" s="2" t="str">
        <f aca="false">IF(K195="","Open",IF(K195&lt;=L195,"Yes","No"))</f>
        <v>Yes</v>
      </c>
    </row>
    <row r="196" customFormat="false" ht="15" hidden="false" customHeight="false" outlineLevel="0" collapsed="false">
      <c r="A196" s="2" t="s">
        <v>230</v>
      </c>
      <c r="B196" s="7" t="n">
        <v>46052.6909722222</v>
      </c>
      <c r="C196" s="7" t="n">
        <v>46052.8979166667</v>
      </c>
      <c r="D196" s="2" t="s">
        <v>31</v>
      </c>
      <c r="E196" s="2" t="s">
        <v>23</v>
      </c>
      <c r="F196" s="2" t="s">
        <v>27</v>
      </c>
      <c r="G196" s="2" t="s">
        <v>33</v>
      </c>
      <c r="H196" s="2" t="n">
        <v>5</v>
      </c>
      <c r="I196" s="2" t="str">
        <f aca="false">IF(C196="","Open","Resolved")</f>
        <v>Resolved</v>
      </c>
      <c r="J196" s="2" t="str">
        <f aca="false">TEXT(B196,"yyyy-mm")</f>
        <v>2026-01</v>
      </c>
      <c r="K196" s="8" t="n">
        <f aca="false">IF(C196="","",ROUND((C196-B196)*24,2))</f>
        <v>4.97</v>
      </c>
      <c r="L196" s="2" t="n">
        <f aca="false">INDEX('SLA Policy'!$B$2:$B$5,MATCH(E196,'SLA Policy'!$A$2:$A$5,0))</f>
        <v>8</v>
      </c>
      <c r="M196" s="2" t="str">
        <f aca="false">IF(K196="","Open",IF(K196&lt;=L196,"Yes","No"))</f>
        <v>Yes</v>
      </c>
    </row>
    <row r="197" customFormat="false" ht="15" hidden="false" customHeight="false" outlineLevel="0" collapsed="false">
      <c r="A197" s="2" t="s">
        <v>231</v>
      </c>
      <c r="B197" s="7" t="n">
        <v>46052.7388888889</v>
      </c>
      <c r="C197" s="7" t="n">
        <v>46053.9305555556</v>
      </c>
      <c r="D197" s="2" t="s">
        <v>27</v>
      </c>
      <c r="E197" s="2" t="s">
        <v>32</v>
      </c>
      <c r="F197" s="2" t="s">
        <v>28</v>
      </c>
      <c r="G197" s="2" t="s">
        <v>29</v>
      </c>
      <c r="H197" s="2" t="n">
        <v>4</v>
      </c>
      <c r="I197" s="2" t="str">
        <f aca="false">IF(C197="","Open","Resolved")</f>
        <v>Resolved</v>
      </c>
      <c r="J197" s="2" t="str">
        <f aca="false">TEXT(B197,"yyyy-mm")</f>
        <v>2026-01</v>
      </c>
      <c r="K197" s="8" t="n">
        <f aca="false">IF(C197="","",ROUND((C197-B197)*24,2))</f>
        <v>28.6</v>
      </c>
      <c r="L197" s="2" t="n">
        <f aca="false">INDEX('SLA Policy'!$B$2:$B$5,MATCH(E197,'SLA Policy'!$A$2:$A$5,0))</f>
        <v>72</v>
      </c>
      <c r="M197" s="2" t="str">
        <f aca="false">IF(K197="","Open",IF(K197&lt;=L197,"Yes","No"))</f>
        <v>Yes</v>
      </c>
    </row>
    <row r="198" customFormat="false" ht="15" hidden="false" customHeight="false" outlineLevel="0" collapsed="false">
      <c r="A198" s="2" t="s">
        <v>232</v>
      </c>
      <c r="B198" s="7" t="n">
        <v>46052.7409722222</v>
      </c>
      <c r="C198" s="7" t="n">
        <v>46053.0652777778</v>
      </c>
      <c r="D198" s="2" t="s">
        <v>27</v>
      </c>
      <c r="E198" s="2" t="s">
        <v>35</v>
      </c>
      <c r="F198" s="2" t="s">
        <v>24</v>
      </c>
      <c r="G198" s="2" t="s">
        <v>29</v>
      </c>
      <c r="H198" s="2" t="n">
        <v>5</v>
      </c>
      <c r="I198" s="2" t="str">
        <f aca="false">IF(C198="","Open","Resolved")</f>
        <v>Resolved</v>
      </c>
      <c r="J198" s="2" t="str">
        <f aca="false">TEXT(B198,"yyyy-mm")</f>
        <v>2026-01</v>
      </c>
      <c r="K198" s="8" t="n">
        <f aca="false">IF(C198="","",ROUND((C198-B198)*24,2))</f>
        <v>7.78</v>
      </c>
      <c r="L198" s="2" t="n">
        <f aca="false">INDEX('SLA Policy'!$B$2:$B$5,MATCH(E198,'SLA Policy'!$A$2:$A$5,0))</f>
        <v>24</v>
      </c>
      <c r="M198" s="2" t="str">
        <f aca="false">IF(K198="","Open",IF(K198&lt;=L198,"Yes","No"))</f>
        <v>Yes</v>
      </c>
    </row>
    <row r="199" customFormat="false" ht="15" hidden="false" customHeight="false" outlineLevel="0" collapsed="false">
      <c r="A199" s="2" t="s">
        <v>233</v>
      </c>
      <c r="B199" s="7" t="n">
        <v>46052.78125</v>
      </c>
      <c r="C199" s="7" t="n">
        <v>46053.7895833333</v>
      </c>
      <c r="D199" s="2" t="s">
        <v>27</v>
      </c>
      <c r="E199" s="2" t="s">
        <v>35</v>
      </c>
      <c r="F199" s="2" t="s">
        <v>38</v>
      </c>
      <c r="G199" s="2" t="s">
        <v>29</v>
      </c>
      <c r="H199" s="2" t="n">
        <v>4</v>
      </c>
      <c r="I199" s="2" t="str">
        <f aca="false">IF(C199="","Open","Resolved")</f>
        <v>Resolved</v>
      </c>
      <c r="J199" s="2" t="str">
        <f aca="false">TEXT(B199,"yyyy-mm")</f>
        <v>2026-01</v>
      </c>
      <c r="K199" s="8" t="n">
        <f aca="false">IF(C199="","",ROUND((C199-B199)*24,2))</f>
        <v>24.2</v>
      </c>
      <c r="L199" s="2" t="n">
        <f aca="false">INDEX('SLA Policy'!$B$2:$B$5,MATCH(E199,'SLA Policy'!$A$2:$A$5,0))</f>
        <v>24</v>
      </c>
      <c r="M199" s="2" t="str">
        <f aca="false">IF(K199="","Open",IF(K199&lt;=L199,"Yes","No"))</f>
        <v>No</v>
      </c>
    </row>
    <row r="200" customFormat="false" ht="15" hidden="false" customHeight="false" outlineLevel="0" collapsed="false">
      <c r="A200" s="2" t="s">
        <v>234</v>
      </c>
      <c r="B200" s="7" t="n">
        <v>46053.3743055556</v>
      </c>
      <c r="C200" s="7" t="n">
        <v>46060.2770833333</v>
      </c>
      <c r="D200" s="2" t="s">
        <v>22</v>
      </c>
      <c r="E200" s="2" t="s">
        <v>32</v>
      </c>
      <c r="F200" s="2" t="s">
        <v>27</v>
      </c>
      <c r="G200" s="2" t="s">
        <v>25</v>
      </c>
      <c r="H200" s="2" t="n">
        <v>1</v>
      </c>
      <c r="I200" s="2" t="str">
        <f aca="false">IF(C200="","Open","Resolved")</f>
        <v>Resolved</v>
      </c>
      <c r="J200" s="2" t="str">
        <f aca="false">TEXT(B200,"yyyy-mm")</f>
        <v>2026-01</v>
      </c>
      <c r="K200" s="8" t="n">
        <f aca="false">IF(C200="","",ROUND((C200-B200)*24,2))</f>
        <v>165.67</v>
      </c>
      <c r="L200" s="2" t="n">
        <f aca="false">INDEX('SLA Policy'!$B$2:$B$5,MATCH(E200,'SLA Policy'!$A$2:$A$5,0))</f>
        <v>72</v>
      </c>
      <c r="M200" s="2" t="str">
        <f aca="false">IF(K200="","Open",IF(K200&lt;=L200,"Yes","No"))</f>
        <v>No</v>
      </c>
    </row>
    <row r="201" customFormat="false" ht="15" hidden="false" customHeight="false" outlineLevel="0" collapsed="false">
      <c r="A201" s="2" t="s">
        <v>235</v>
      </c>
      <c r="B201" s="7" t="n">
        <v>46053.4534722222</v>
      </c>
      <c r="C201" s="7" t="n">
        <v>46054.1256944445</v>
      </c>
      <c r="D201" s="2" t="s">
        <v>31</v>
      </c>
      <c r="E201" s="2" t="s">
        <v>35</v>
      </c>
      <c r="F201" s="2" t="s">
        <v>27</v>
      </c>
      <c r="G201" s="2" t="s">
        <v>33</v>
      </c>
      <c r="H201" s="2" t="n">
        <v>4</v>
      </c>
      <c r="I201" s="2" t="str">
        <f aca="false">IF(C201="","Open","Resolved")</f>
        <v>Resolved</v>
      </c>
      <c r="J201" s="2" t="str">
        <f aca="false">TEXT(B201,"yyyy-mm")</f>
        <v>2026-01</v>
      </c>
      <c r="K201" s="8" t="n">
        <f aca="false">IF(C201="","",ROUND((C201-B201)*24,2))</f>
        <v>16.13</v>
      </c>
      <c r="L201" s="2" t="n">
        <f aca="false">INDEX('SLA Policy'!$B$2:$B$5,MATCH(E201,'SLA Policy'!$A$2:$A$5,0))</f>
        <v>24</v>
      </c>
      <c r="M201" s="2" t="str">
        <f aca="false">IF(K201="","Open",IF(K201&lt;=L201,"Yes","No"))</f>
        <v>Yes</v>
      </c>
    </row>
    <row r="202" customFormat="false" ht="15" hidden="false" customHeight="false" outlineLevel="0" collapsed="false">
      <c r="A202" s="2" t="s">
        <v>236</v>
      </c>
      <c r="B202" s="7" t="n">
        <v>46053.6611111111</v>
      </c>
      <c r="C202" s="7" t="n">
        <v>46053.8284722222</v>
      </c>
      <c r="D202" s="2" t="s">
        <v>48</v>
      </c>
      <c r="E202" s="2" t="s">
        <v>40</v>
      </c>
      <c r="F202" s="2" t="s">
        <v>24</v>
      </c>
      <c r="G202" s="2" t="s">
        <v>25</v>
      </c>
      <c r="H202" s="2" t="n">
        <v>4</v>
      </c>
      <c r="I202" s="2" t="str">
        <f aca="false">IF(C202="","Open","Resolved")</f>
        <v>Resolved</v>
      </c>
      <c r="J202" s="2" t="str">
        <f aca="false">TEXT(B202,"yyyy-mm")</f>
        <v>2026-01</v>
      </c>
      <c r="K202" s="8" t="n">
        <f aca="false">IF(C202="","",ROUND((C202-B202)*24,2))</f>
        <v>4.02</v>
      </c>
      <c r="L202" s="2" t="n">
        <f aca="false">INDEX('SLA Policy'!$B$2:$B$5,MATCH(E202,'SLA Policy'!$A$2:$A$5,0))</f>
        <v>4</v>
      </c>
      <c r="M202" s="2" t="str">
        <f aca="false">IF(K202="","Open",IF(K202&lt;=L202,"Yes","No"))</f>
        <v>No</v>
      </c>
    </row>
    <row r="203" customFormat="false" ht="15" hidden="false" customHeight="false" outlineLevel="0" collapsed="false">
      <c r="A203" s="2" t="s">
        <v>237</v>
      </c>
      <c r="B203" s="7" t="n">
        <v>46053.7013888889</v>
      </c>
      <c r="C203" s="7" t="n">
        <v>46056.1159722222</v>
      </c>
      <c r="D203" s="2" t="s">
        <v>42</v>
      </c>
      <c r="E203" s="2" t="s">
        <v>32</v>
      </c>
      <c r="F203" s="2" t="s">
        <v>28</v>
      </c>
      <c r="G203" s="2" t="s">
        <v>29</v>
      </c>
      <c r="H203" s="2" t="n">
        <v>3</v>
      </c>
      <c r="I203" s="2" t="str">
        <f aca="false">IF(C203="","Open","Resolved")</f>
        <v>Resolved</v>
      </c>
      <c r="J203" s="2" t="str">
        <f aca="false">TEXT(B203,"yyyy-mm")</f>
        <v>2026-01</v>
      </c>
      <c r="K203" s="8" t="n">
        <f aca="false">IF(C203="","",ROUND((C203-B203)*24,2))</f>
        <v>57.95</v>
      </c>
      <c r="L203" s="2" t="n">
        <f aca="false">INDEX('SLA Policy'!$B$2:$B$5,MATCH(E203,'SLA Policy'!$A$2:$A$5,0))</f>
        <v>72</v>
      </c>
      <c r="M203" s="2" t="str">
        <f aca="false">IF(K203="","Open",IF(K203&lt;=L203,"Yes","No"))</f>
        <v>Yes</v>
      </c>
    </row>
    <row r="204" customFormat="false" ht="15" hidden="false" customHeight="false" outlineLevel="0" collapsed="false">
      <c r="A204" s="2" t="s">
        <v>238</v>
      </c>
      <c r="B204" s="7" t="n">
        <v>46053.7618055556</v>
      </c>
      <c r="C204" s="7" t="n">
        <v>46054.5472222222</v>
      </c>
      <c r="D204" s="2" t="s">
        <v>27</v>
      </c>
      <c r="E204" s="2" t="s">
        <v>32</v>
      </c>
      <c r="F204" s="2" t="s">
        <v>28</v>
      </c>
      <c r="G204" s="2" t="s">
        <v>29</v>
      </c>
      <c r="H204" s="2" t="n">
        <v>4</v>
      </c>
      <c r="I204" s="2" t="str">
        <f aca="false">IF(C204="","Open","Resolved")</f>
        <v>Resolved</v>
      </c>
      <c r="J204" s="2" t="str">
        <f aca="false">TEXT(B204,"yyyy-mm")</f>
        <v>2026-01</v>
      </c>
      <c r="K204" s="8" t="n">
        <f aca="false">IF(C204="","",ROUND((C204-B204)*24,2))</f>
        <v>18.85</v>
      </c>
      <c r="L204" s="2" t="n">
        <f aca="false">INDEX('SLA Policy'!$B$2:$B$5,MATCH(E204,'SLA Policy'!$A$2:$A$5,0))</f>
        <v>72</v>
      </c>
      <c r="M204" s="2" t="str">
        <f aca="false">IF(K204="","Open",IF(K204&lt;=L204,"Yes","No"))</f>
        <v>Yes</v>
      </c>
    </row>
    <row r="205" customFormat="false" ht="15" hidden="false" customHeight="false" outlineLevel="0" collapsed="false">
      <c r="A205" s="2" t="s">
        <v>239</v>
      </c>
      <c r="B205" s="7" t="n">
        <v>46053.7833333333</v>
      </c>
      <c r="C205" s="7" t="n">
        <v>46057.21875</v>
      </c>
      <c r="D205" s="2" t="s">
        <v>22</v>
      </c>
      <c r="E205" s="2" t="s">
        <v>35</v>
      </c>
      <c r="F205" s="2" t="s">
        <v>24</v>
      </c>
      <c r="G205" s="2" t="s">
        <v>25</v>
      </c>
      <c r="H205" s="2" t="n">
        <v>4</v>
      </c>
      <c r="I205" s="2" t="str">
        <f aca="false">IF(C205="","Open","Resolved")</f>
        <v>Resolved</v>
      </c>
      <c r="J205" s="2" t="str">
        <f aca="false">TEXT(B205,"yyyy-mm")</f>
        <v>2026-01</v>
      </c>
      <c r="K205" s="8" t="n">
        <f aca="false">IF(C205="","",ROUND((C205-B205)*24,2))</f>
        <v>82.45</v>
      </c>
      <c r="L205" s="2" t="n">
        <f aca="false">INDEX('SLA Policy'!$B$2:$B$5,MATCH(E205,'SLA Policy'!$A$2:$A$5,0))</f>
        <v>24</v>
      </c>
      <c r="M205" s="2" t="str">
        <f aca="false">IF(K205="","Open",IF(K205&lt;=L205,"Yes","No"))</f>
        <v>No</v>
      </c>
    </row>
    <row r="206" customFormat="false" ht="15" hidden="false" customHeight="false" outlineLevel="0" collapsed="false">
      <c r="A206" s="2" t="s">
        <v>240</v>
      </c>
      <c r="B206" s="7" t="n">
        <v>46054.2972222222</v>
      </c>
      <c r="C206" s="7" t="n">
        <v>46054.8652777778</v>
      </c>
      <c r="D206" s="2" t="s">
        <v>27</v>
      </c>
      <c r="E206" s="2" t="s">
        <v>23</v>
      </c>
      <c r="F206" s="2" t="s">
        <v>28</v>
      </c>
      <c r="G206" s="2" t="s">
        <v>29</v>
      </c>
      <c r="H206" s="2" t="n">
        <v>4</v>
      </c>
      <c r="I206" s="2" t="str">
        <f aca="false">IF(C206="","Open","Resolved")</f>
        <v>Resolved</v>
      </c>
      <c r="J206" s="2" t="str">
        <f aca="false">TEXT(B206,"yyyy-mm")</f>
        <v>2026-02</v>
      </c>
      <c r="K206" s="8" t="n">
        <f aca="false">IF(C206="","",ROUND((C206-B206)*24,2))</f>
        <v>13.63</v>
      </c>
      <c r="L206" s="2" t="n">
        <f aca="false">INDEX('SLA Policy'!$B$2:$B$5,MATCH(E206,'SLA Policy'!$A$2:$A$5,0))</f>
        <v>8</v>
      </c>
      <c r="M206" s="2" t="str">
        <f aca="false">IF(K206="","Open",IF(K206&lt;=L206,"Yes","No"))</f>
        <v>No</v>
      </c>
    </row>
    <row r="207" customFormat="false" ht="15" hidden="false" customHeight="false" outlineLevel="0" collapsed="false">
      <c r="A207" s="2" t="s">
        <v>241</v>
      </c>
      <c r="B207" s="7" t="n">
        <v>46054.6520833333</v>
      </c>
      <c r="C207" s="7" t="n">
        <v>46055.5333333333</v>
      </c>
      <c r="D207" s="2" t="s">
        <v>31</v>
      </c>
      <c r="E207" s="2" t="s">
        <v>35</v>
      </c>
      <c r="F207" s="2" t="s">
        <v>28</v>
      </c>
      <c r="G207" s="2" t="s">
        <v>33</v>
      </c>
      <c r="H207" s="2" t="n">
        <v>4</v>
      </c>
      <c r="I207" s="2" t="str">
        <f aca="false">IF(C207="","Open","Resolved")</f>
        <v>Resolved</v>
      </c>
      <c r="J207" s="2" t="str">
        <f aca="false">TEXT(B207,"yyyy-mm")</f>
        <v>2026-02</v>
      </c>
      <c r="K207" s="8" t="n">
        <f aca="false">IF(C207="","",ROUND((C207-B207)*24,2))</f>
        <v>21.15</v>
      </c>
      <c r="L207" s="2" t="n">
        <f aca="false">INDEX('SLA Policy'!$B$2:$B$5,MATCH(E207,'SLA Policy'!$A$2:$A$5,0))</f>
        <v>24</v>
      </c>
      <c r="M207" s="2" t="str">
        <f aca="false">IF(K207="","Open",IF(K207&lt;=L207,"Yes","No"))</f>
        <v>Yes</v>
      </c>
    </row>
    <row r="208" customFormat="false" ht="15" hidden="false" customHeight="false" outlineLevel="0" collapsed="false">
      <c r="A208" s="2" t="s">
        <v>242</v>
      </c>
      <c r="B208" s="7" t="n">
        <v>46055.3340277778</v>
      </c>
      <c r="C208" s="7" t="n">
        <v>46056.9993055556</v>
      </c>
      <c r="D208" s="2" t="s">
        <v>31</v>
      </c>
      <c r="E208" s="2" t="s">
        <v>35</v>
      </c>
      <c r="F208" s="2" t="s">
        <v>27</v>
      </c>
      <c r="G208" s="2" t="s">
        <v>33</v>
      </c>
      <c r="H208" s="2" t="n">
        <v>3</v>
      </c>
      <c r="I208" s="2" t="str">
        <f aca="false">IF(C208="","Open","Resolved")</f>
        <v>Resolved</v>
      </c>
      <c r="J208" s="2" t="str">
        <f aca="false">TEXT(B208,"yyyy-mm")</f>
        <v>2026-02</v>
      </c>
      <c r="K208" s="8" t="n">
        <f aca="false">IF(C208="","",ROUND((C208-B208)*24,2))</f>
        <v>39.97</v>
      </c>
      <c r="L208" s="2" t="n">
        <f aca="false">INDEX('SLA Policy'!$B$2:$B$5,MATCH(E208,'SLA Policy'!$A$2:$A$5,0))</f>
        <v>24</v>
      </c>
      <c r="M208" s="2" t="str">
        <f aca="false">IF(K208="","Open",IF(K208&lt;=L208,"Yes","No"))</f>
        <v>No</v>
      </c>
    </row>
    <row r="209" customFormat="false" ht="15" hidden="false" customHeight="false" outlineLevel="0" collapsed="false">
      <c r="A209" s="2" t="s">
        <v>243</v>
      </c>
      <c r="B209" s="7" t="n">
        <v>46055.4020833333</v>
      </c>
      <c r="C209" s="7" t="n">
        <v>46057.8916666667</v>
      </c>
      <c r="D209" s="2" t="s">
        <v>22</v>
      </c>
      <c r="E209" s="2" t="s">
        <v>32</v>
      </c>
      <c r="F209" s="2" t="s">
        <v>24</v>
      </c>
      <c r="G209" s="2" t="s">
        <v>25</v>
      </c>
      <c r="H209" s="2" t="n">
        <v>3</v>
      </c>
      <c r="I209" s="2" t="str">
        <f aca="false">IF(C209="","Open","Resolved")</f>
        <v>Resolved</v>
      </c>
      <c r="J209" s="2" t="str">
        <f aca="false">TEXT(B209,"yyyy-mm")</f>
        <v>2026-02</v>
      </c>
      <c r="K209" s="8" t="n">
        <f aca="false">IF(C209="","",ROUND((C209-B209)*24,2))</f>
        <v>59.75</v>
      </c>
      <c r="L209" s="2" t="n">
        <f aca="false">INDEX('SLA Policy'!$B$2:$B$5,MATCH(E209,'SLA Policy'!$A$2:$A$5,0))</f>
        <v>72</v>
      </c>
      <c r="M209" s="2" t="str">
        <f aca="false">IF(K209="","Open",IF(K209&lt;=L209,"Yes","No"))</f>
        <v>Yes</v>
      </c>
    </row>
    <row r="210" customFormat="false" ht="15" hidden="false" customHeight="false" outlineLevel="0" collapsed="false">
      <c r="A210" s="2" t="s">
        <v>244</v>
      </c>
      <c r="B210" s="7" t="n">
        <v>46055.4270833333</v>
      </c>
      <c r="C210" s="7" t="n">
        <v>46056.5506944444</v>
      </c>
      <c r="D210" s="2" t="s">
        <v>31</v>
      </c>
      <c r="E210" s="2" t="s">
        <v>35</v>
      </c>
      <c r="F210" s="2" t="s">
        <v>38</v>
      </c>
      <c r="G210" s="2" t="s">
        <v>33</v>
      </c>
      <c r="H210" s="2" t="n">
        <v>4</v>
      </c>
      <c r="I210" s="2" t="str">
        <f aca="false">IF(C210="","Open","Resolved")</f>
        <v>Resolved</v>
      </c>
      <c r="J210" s="2" t="str">
        <f aca="false">TEXT(B210,"yyyy-mm")</f>
        <v>2026-02</v>
      </c>
      <c r="K210" s="8" t="n">
        <f aca="false">IF(C210="","",ROUND((C210-B210)*24,2))</f>
        <v>26.97</v>
      </c>
      <c r="L210" s="2" t="n">
        <f aca="false">INDEX('SLA Policy'!$B$2:$B$5,MATCH(E210,'SLA Policy'!$A$2:$A$5,0))</f>
        <v>24</v>
      </c>
      <c r="M210" s="2" t="str">
        <f aca="false">IF(K210="","Open",IF(K210&lt;=L210,"Yes","No"))</f>
        <v>No</v>
      </c>
    </row>
    <row r="211" customFormat="false" ht="15" hidden="false" customHeight="false" outlineLevel="0" collapsed="false">
      <c r="A211" s="2" t="s">
        <v>245</v>
      </c>
      <c r="B211" s="7" t="n">
        <v>46055.5451388889</v>
      </c>
      <c r="C211" s="7" t="n">
        <v>46055.8090277778</v>
      </c>
      <c r="D211" s="2" t="s">
        <v>42</v>
      </c>
      <c r="E211" s="2" t="s">
        <v>23</v>
      </c>
      <c r="F211" s="2" t="s">
        <v>27</v>
      </c>
      <c r="G211" s="2" t="s">
        <v>29</v>
      </c>
      <c r="H211" s="2" t="n">
        <v>5</v>
      </c>
      <c r="I211" s="2" t="str">
        <f aca="false">IF(C211="","Open","Resolved")</f>
        <v>Resolved</v>
      </c>
      <c r="J211" s="2" t="str">
        <f aca="false">TEXT(B211,"yyyy-mm")</f>
        <v>2026-02</v>
      </c>
      <c r="K211" s="8" t="n">
        <f aca="false">IF(C211="","",ROUND((C211-B211)*24,2))</f>
        <v>6.33</v>
      </c>
      <c r="L211" s="2" t="n">
        <f aca="false">INDEX('SLA Policy'!$B$2:$B$5,MATCH(E211,'SLA Policy'!$A$2:$A$5,0))</f>
        <v>8</v>
      </c>
      <c r="M211" s="2" t="str">
        <f aca="false">IF(K211="","Open",IF(K211&lt;=L211,"Yes","No"))</f>
        <v>Yes</v>
      </c>
    </row>
    <row r="212" customFormat="false" ht="15" hidden="false" customHeight="false" outlineLevel="0" collapsed="false">
      <c r="A212" s="2" t="s">
        <v>246</v>
      </c>
      <c r="B212" s="7" t="n">
        <v>46055.5819444444</v>
      </c>
      <c r="C212" s="7" t="n">
        <v>46057.8118055556</v>
      </c>
      <c r="D212" s="2" t="s">
        <v>22</v>
      </c>
      <c r="E212" s="2" t="s">
        <v>35</v>
      </c>
      <c r="F212" s="2" t="s">
        <v>27</v>
      </c>
      <c r="G212" s="2" t="s">
        <v>25</v>
      </c>
      <c r="H212" s="2" t="n">
        <v>2</v>
      </c>
      <c r="I212" s="2" t="str">
        <f aca="false">IF(C212="","Open","Resolved")</f>
        <v>Resolved</v>
      </c>
      <c r="J212" s="2" t="str">
        <f aca="false">TEXT(B212,"yyyy-mm")</f>
        <v>2026-02</v>
      </c>
      <c r="K212" s="8" t="n">
        <f aca="false">IF(C212="","",ROUND((C212-B212)*24,2))</f>
        <v>53.52</v>
      </c>
      <c r="L212" s="2" t="n">
        <f aca="false">INDEX('SLA Policy'!$B$2:$B$5,MATCH(E212,'SLA Policy'!$A$2:$A$5,0))</f>
        <v>24</v>
      </c>
      <c r="M212" s="2" t="str">
        <f aca="false">IF(K212="","Open",IF(K212&lt;=L212,"Yes","No"))</f>
        <v>No</v>
      </c>
    </row>
    <row r="213" customFormat="false" ht="15" hidden="false" customHeight="false" outlineLevel="0" collapsed="false">
      <c r="A213" s="2" t="s">
        <v>247</v>
      </c>
      <c r="B213" s="7" t="n">
        <v>46055.6479166667</v>
      </c>
      <c r="C213" s="7" t="n">
        <v>46060.3944444444</v>
      </c>
      <c r="D213" s="2" t="s">
        <v>31</v>
      </c>
      <c r="E213" s="2" t="s">
        <v>32</v>
      </c>
      <c r="F213" s="2" t="s">
        <v>24</v>
      </c>
      <c r="G213" s="2" t="s">
        <v>33</v>
      </c>
      <c r="H213" s="2" t="n">
        <v>2</v>
      </c>
      <c r="I213" s="2" t="str">
        <f aca="false">IF(C213="","Open","Resolved")</f>
        <v>Resolved</v>
      </c>
      <c r="J213" s="2" t="str">
        <f aca="false">TEXT(B213,"yyyy-mm")</f>
        <v>2026-02</v>
      </c>
      <c r="K213" s="8" t="n">
        <f aca="false">IF(C213="","",ROUND((C213-B213)*24,2))</f>
        <v>113.92</v>
      </c>
      <c r="L213" s="2" t="n">
        <f aca="false">INDEX('SLA Policy'!$B$2:$B$5,MATCH(E213,'SLA Policy'!$A$2:$A$5,0))</f>
        <v>72</v>
      </c>
      <c r="M213" s="2" t="str">
        <f aca="false">IF(K213="","Open",IF(K213&lt;=L213,"Yes","No"))</f>
        <v>No</v>
      </c>
    </row>
    <row r="214" customFormat="false" ht="15" hidden="false" customHeight="false" outlineLevel="0" collapsed="false">
      <c r="A214" s="2" t="s">
        <v>248</v>
      </c>
      <c r="B214" s="7" t="n">
        <v>46056.4402777778</v>
      </c>
      <c r="C214" s="7" t="n">
        <v>46057.4784722222</v>
      </c>
      <c r="D214" s="2" t="s">
        <v>31</v>
      </c>
      <c r="E214" s="2" t="s">
        <v>35</v>
      </c>
      <c r="F214" s="2" t="s">
        <v>27</v>
      </c>
      <c r="G214" s="2" t="s">
        <v>33</v>
      </c>
      <c r="H214" s="2" t="n">
        <v>3</v>
      </c>
      <c r="I214" s="2" t="str">
        <f aca="false">IF(C214="","Open","Resolved")</f>
        <v>Resolved</v>
      </c>
      <c r="J214" s="2" t="str">
        <f aca="false">TEXT(B214,"yyyy-mm")</f>
        <v>2026-02</v>
      </c>
      <c r="K214" s="8" t="n">
        <f aca="false">IF(C214="","",ROUND((C214-B214)*24,2))</f>
        <v>24.92</v>
      </c>
      <c r="L214" s="2" t="n">
        <f aca="false">INDEX('SLA Policy'!$B$2:$B$5,MATCH(E214,'SLA Policy'!$A$2:$A$5,0))</f>
        <v>24</v>
      </c>
      <c r="M214" s="2" t="str">
        <f aca="false">IF(K214="","Open",IF(K214&lt;=L214,"Yes","No"))</f>
        <v>No</v>
      </c>
    </row>
    <row r="215" customFormat="false" ht="15" hidden="false" customHeight="false" outlineLevel="0" collapsed="false">
      <c r="A215" s="2" t="s">
        <v>249</v>
      </c>
      <c r="B215" s="7" t="n">
        <v>46056.4458333333</v>
      </c>
      <c r="C215" s="7" t="n">
        <v>46056.8909722222</v>
      </c>
      <c r="D215" s="2" t="s">
        <v>42</v>
      </c>
      <c r="E215" s="2" t="s">
        <v>35</v>
      </c>
      <c r="F215" s="2" t="s">
        <v>27</v>
      </c>
      <c r="G215" s="2" t="s">
        <v>29</v>
      </c>
      <c r="H215" s="2" t="n">
        <v>4</v>
      </c>
      <c r="I215" s="2" t="str">
        <f aca="false">IF(C215="","Open","Resolved")</f>
        <v>Resolved</v>
      </c>
      <c r="J215" s="2" t="str">
        <f aca="false">TEXT(B215,"yyyy-mm")</f>
        <v>2026-02</v>
      </c>
      <c r="K215" s="8" t="n">
        <f aca="false">IF(C215="","",ROUND((C215-B215)*24,2))</f>
        <v>10.68</v>
      </c>
      <c r="L215" s="2" t="n">
        <f aca="false">INDEX('SLA Policy'!$B$2:$B$5,MATCH(E215,'SLA Policy'!$A$2:$A$5,0))</f>
        <v>24</v>
      </c>
      <c r="M215" s="2" t="str">
        <f aca="false">IF(K215="","Open",IF(K215&lt;=L215,"Yes","No"))</f>
        <v>Yes</v>
      </c>
    </row>
    <row r="216" customFormat="false" ht="15" hidden="false" customHeight="false" outlineLevel="0" collapsed="false">
      <c r="A216" s="2" t="s">
        <v>250</v>
      </c>
      <c r="B216" s="7" t="n">
        <v>46056.5006944445</v>
      </c>
      <c r="C216" s="7" t="n">
        <v>46056.6201388889</v>
      </c>
      <c r="D216" s="2" t="s">
        <v>42</v>
      </c>
      <c r="E216" s="2" t="s">
        <v>23</v>
      </c>
      <c r="F216" s="2" t="s">
        <v>27</v>
      </c>
      <c r="G216" s="2" t="s">
        <v>29</v>
      </c>
      <c r="H216" s="2" t="n">
        <v>5</v>
      </c>
      <c r="I216" s="2" t="str">
        <f aca="false">IF(C216="","Open","Resolved")</f>
        <v>Resolved</v>
      </c>
      <c r="J216" s="2" t="str">
        <f aca="false">TEXT(B216,"yyyy-mm")</f>
        <v>2026-02</v>
      </c>
      <c r="K216" s="8" t="n">
        <f aca="false">IF(C216="","",ROUND((C216-B216)*24,2))</f>
        <v>2.87</v>
      </c>
      <c r="L216" s="2" t="n">
        <f aca="false">INDEX('SLA Policy'!$B$2:$B$5,MATCH(E216,'SLA Policy'!$A$2:$A$5,0))</f>
        <v>8</v>
      </c>
      <c r="M216" s="2" t="str">
        <f aca="false">IF(K216="","Open",IF(K216&lt;=L216,"Yes","No"))</f>
        <v>Yes</v>
      </c>
    </row>
    <row r="217" customFormat="false" ht="15" hidden="false" customHeight="false" outlineLevel="0" collapsed="false">
      <c r="A217" s="2" t="s">
        <v>251</v>
      </c>
      <c r="B217" s="7" t="n">
        <v>46056.5333333333</v>
      </c>
      <c r="C217" s="7" t="n">
        <v>46059.8680555556</v>
      </c>
      <c r="D217" s="2" t="s">
        <v>48</v>
      </c>
      <c r="E217" s="2" t="s">
        <v>32</v>
      </c>
      <c r="F217" s="2" t="s">
        <v>27</v>
      </c>
      <c r="G217" s="2" t="s">
        <v>25</v>
      </c>
      <c r="H217" s="2" t="n">
        <v>2</v>
      </c>
      <c r="I217" s="2" t="str">
        <f aca="false">IF(C217="","Open","Resolved")</f>
        <v>Resolved</v>
      </c>
      <c r="J217" s="2" t="str">
        <f aca="false">TEXT(B217,"yyyy-mm")</f>
        <v>2026-02</v>
      </c>
      <c r="K217" s="8" t="n">
        <f aca="false">IF(C217="","",ROUND((C217-B217)*24,2))</f>
        <v>80.03</v>
      </c>
      <c r="L217" s="2" t="n">
        <f aca="false">INDEX('SLA Policy'!$B$2:$B$5,MATCH(E217,'SLA Policy'!$A$2:$A$5,0))</f>
        <v>72</v>
      </c>
      <c r="M217" s="2" t="str">
        <f aca="false">IF(K217="","Open",IF(K217&lt;=L217,"Yes","No"))</f>
        <v>No</v>
      </c>
    </row>
    <row r="218" customFormat="false" ht="15" hidden="false" customHeight="false" outlineLevel="0" collapsed="false">
      <c r="A218" s="2" t="s">
        <v>252</v>
      </c>
      <c r="B218" s="7" t="n">
        <v>46056.5736111111</v>
      </c>
      <c r="C218" s="7" t="n">
        <v>46056.86875</v>
      </c>
      <c r="D218" s="2" t="s">
        <v>42</v>
      </c>
      <c r="E218" s="2" t="s">
        <v>35</v>
      </c>
      <c r="F218" s="2" t="s">
        <v>24</v>
      </c>
      <c r="G218" s="2" t="s">
        <v>29</v>
      </c>
      <c r="H218" s="2" t="n">
        <v>4</v>
      </c>
      <c r="I218" s="2" t="str">
        <f aca="false">IF(C218="","Open","Resolved")</f>
        <v>Resolved</v>
      </c>
      <c r="J218" s="2" t="str">
        <f aca="false">TEXT(B218,"yyyy-mm")</f>
        <v>2026-02</v>
      </c>
      <c r="K218" s="8" t="n">
        <f aca="false">IF(C218="","",ROUND((C218-B218)*24,2))</f>
        <v>7.08</v>
      </c>
      <c r="L218" s="2" t="n">
        <f aca="false">INDEX('SLA Policy'!$B$2:$B$5,MATCH(E218,'SLA Policy'!$A$2:$A$5,0))</f>
        <v>24</v>
      </c>
      <c r="M218" s="2" t="str">
        <f aca="false">IF(K218="","Open",IF(K218&lt;=L218,"Yes","No"))</f>
        <v>Yes</v>
      </c>
    </row>
    <row r="219" customFormat="false" ht="15" hidden="false" customHeight="false" outlineLevel="0" collapsed="false">
      <c r="A219" s="2" t="s">
        <v>253</v>
      </c>
      <c r="B219" s="7" t="n">
        <v>46056.6354166667</v>
      </c>
      <c r="C219" s="7" t="n">
        <v>46058.2597222222</v>
      </c>
      <c r="D219" s="2" t="s">
        <v>22</v>
      </c>
      <c r="E219" s="2" t="s">
        <v>35</v>
      </c>
      <c r="F219" s="2" t="s">
        <v>24</v>
      </c>
      <c r="G219" s="2" t="s">
        <v>25</v>
      </c>
      <c r="H219" s="2" t="n">
        <v>3</v>
      </c>
      <c r="I219" s="2" t="str">
        <f aca="false">IF(C219="","Open","Resolved")</f>
        <v>Resolved</v>
      </c>
      <c r="J219" s="2" t="str">
        <f aca="false">TEXT(B219,"yyyy-mm")</f>
        <v>2026-02</v>
      </c>
      <c r="K219" s="8" t="n">
        <f aca="false">IF(C219="","",ROUND((C219-B219)*24,2))</f>
        <v>38.98</v>
      </c>
      <c r="L219" s="2" t="n">
        <f aca="false">INDEX('SLA Policy'!$B$2:$B$5,MATCH(E219,'SLA Policy'!$A$2:$A$5,0))</f>
        <v>24</v>
      </c>
      <c r="M219" s="2" t="str">
        <f aca="false">IF(K219="","Open",IF(K219&lt;=L219,"Yes","No"))</f>
        <v>No</v>
      </c>
    </row>
    <row r="220" customFormat="false" ht="15" hidden="false" customHeight="false" outlineLevel="0" collapsed="false">
      <c r="A220" s="2" t="s">
        <v>254</v>
      </c>
      <c r="B220" s="7" t="n">
        <v>46056.6763888889</v>
      </c>
      <c r="C220" s="7" t="n">
        <v>46058.8458333333</v>
      </c>
      <c r="D220" s="2" t="s">
        <v>31</v>
      </c>
      <c r="E220" s="2" t="s">
        <v>35</v>
      </c>
      <c r="F220" s="2" t="s">
        <v>24</v>
      </c>
      <c r="G220" s="2" t="s">
        <v>33</v>
      </c>
      <c r="H220" s="2" t="n">
        <v>3</v>
      </c>
      <c r="I220" s="2" t="str">
        <f aca="false">IF(C220="","Open","Resolved")</f>
        <v>Resolved</v>
      </c>
      <c r="J220" s="2" t="str">
        <f aca="false">TEXT(B220,"yyyy-mm")</f>
        <v>2026-02</v>
      </c>
      <c r="K220" s="8" t="n">
        <f aca="false">IF(C220="","",ROUND((C220-B220)*24,2))</f>
        <v>52.07</v>
      </c>
      <c r="L220" s="2" t="n">
        <f aca="false">INDEX('SLA Policy'!$B$2:$B$5,MATCH(E220,'SLA Policy'!$A$2:$A$5,0))</f>
        <v>24</v>
      </c>
      <c r="M220" s="2" t="str">
        <f aca="false">IF(K220="","Open",IF(K220&lt;=L220,"Yes","No"))</f>
        <v>No</v>
      </c>
    </row>
    <row r="221" customFormat="false" ht="15" hidden="false" customHeight="false" outlineLevel="0" collapsed="false">
      <c r="A221" s="2" t="s">
        <v>255</v>
      </c>
      <c r="B221" s="7" t="n">
        <v>46056.6770833333</v>
      </c>
      <c r="C221" s="7" t="n">
        <v>46057.9826388889</v>
      </c>
      <c r="D221" s="2" t="s">
        <v>22</v>
      </c>
      <c r="E221" s="2" t="s">
        <v>35</v>
      </c>
      <c r="F221" s="2" t="s">
        <v>27</v>
      </c>
      <c r="G221" s="2" t="s">
        <v>25</v>
      </c>
      <c r="H221" s="2" t="n">
        <v>2</v>
      </c>
      <c r="I221" s="2" t="str">
        <f aca="false">IF(C221="","Open","Resolved")</f>
        <v>Resolved</v>
      </c>
      <c r="J221" s="2" t="str">
        <f aca="false">TEXT(B221,"yyyy-mm")</f>
        <v>2026-02</v>
      </c>
      <c r="K221" s="8" t="n">
        <f aca="false">IF(C221="","",ROUND((C221-B221)*24,2))</f>
        <v>31.33</v>
      </c>
      <c r="L221" s="2" t="n">
        <f aca="false">INDEX('SLA Policy'!$B$2:$B$5,MATCH(E221,'SLA Policy'!$A$2:$A$5,0))</f>
        <v>24</v>
      </c>
      <c r="M221" s="2" t="str">
        <f aca="false">IF(K221="","Open",IF(K221&lt;=L221,"Yes","No"))</f>
        <v>No</v>
      </c>
    </row>
    <row r="222" customFormat="false" ht="15" hidden="false" customHeight="false" outlineLevel="0" collapsed="false">
      <c r="A222" s="2" t="s">
        <v>256</v>
      </c>
      <c r="B222" s="7" t="n">
        <v>46056.6840277778</v>
      </c>
      <c r="C222" s="7" t="n">
        <v>46058.0055555556</v>
      </c>
      <c r="D222" s="2" t="s">
        <v>48</v>
      </c>
      <c r="E222" s="2" t="s">
        <v>35</v>
      </c>
      <c r="F222" s="2" t="s">
        <v>38</v>
      </c>
      <c r="G222" s="2" t="s">
        <v>25</v>
      </c>
      <c r="H222" s="2" t="n">
        <v>3</v>
      </c>
      <c r="I222" s="2" t="str">
        <f aca="false">IF(C222="","Open","Resolved")</f>
        <v>Resolved</v>
      </c>
      <c r="J222" s="2" t="str">
        <f aca="false">TEXT(B222,"yyyy-mm")</f>
        <v>2026-02</v>
      </c>
      <c r="K222" s="8" t="n">
        <f aca="false">IF(C222="","",ROUND((C222-B222)*24,2))</f>
        <v>31.72</v>
      </c>
      <c r="L222" s="2" t="n">
        <f aca="false">INDEX('SLA Policy'!$B$2:$B$5,MATCH(E222,'SLA Policy'!$A$2:$A$5,0))</f>
        <v>24</v>
      </c>
      <c r="M222" s="2" t="str">
        <f aca="false">IF(K222="","Open",IF(K222&lt;=L222,"Yes","No"))</f>
        <v>No</v>
      </c>
    </row>
    <row r="223" customFormat="false" ht="15" hidden="false" customHeight="false" outlineLevel="0" collapsed="false">
      <c r="A223" s="2" t="s">
        <v>257</v>
      </c>
      <c r="B223" s="7" t="n">
        <v>46056.7444444444</v>
      </c>
      <c r="C223" s="7" t="n">
        <v>46058.0555555556</v>
      </c>
      <c r="D223" s="2" t="s">
        <v>31</v>
      </c>
      <c r="E223" s="2" t="s">
        <v>32</v>
      </c>
      <c r="F223" s="2" t="s">
        <v>38</v>
      </c>
      <c r="G223" s="2" t="s">
        <v>33</v>
      </c>
      <c r="H223" s="2" t="n">
        <v>4</v>
      </c>
      <c r="I223" s="2" t="str">
        <f aca="false">IF(C223="","Open","Resolved")</f>
        <v>Resolved</v>
      </c>
      <c r="J223" s="2" t="str">
        <f aca="false">TEXT(B223,"yyyy-mm")</f>
        <v>2026-02</v>
      </c>
      <c r="K223" s="8" t="n">
        <f aca="false">IF(C223="","",ROUND((C223-B223)*24,2))</f>
        <v>31.47</v>
      </c>
      <c r="L223" s="2" t="n">
        <f aca="false">INDEX('SLA Policy'!$B$2:$B$5,MATCH(E223,'SLA Policy'!$A$2:$A$5,0))</f>
        <v>72</v>
      </c>
      <c r="M223" s="2" t="str">
        <f aca="false">IF(K223="","Open",IF(K223&lt;=L223,"Yes","No"))</f>
        <v>Yes</v>
      </c>
    </row>
    <row r="224" customFormat="false" ht="15" hidden="false" customHeight="false" outlineLevel="0" collapsed="false">
      <c r="A224" s="2" t="s">
        <v>258</v>
      </c>
      <c r="B224" s="7" t="n">
        <v>46057.3006944444</v>
      </c>
      <c r="C224" s="7" t="n">
        <v>46057.44375</v>
      </c>
      <c r="D224" s="2" t="s">
        <v>42</v>
      </c>
      <c r="E224" s="2" t="s">
        <v>23</v>
      </c>
      <c r="F224" s="2" t="s">
        <v>28</v>
      </c>
      <c r="G224" s="2" t="s">
        <v>29</v>
      </c>
      <c r="H224" s="2" t="n">
        <v>5</v>
      </c>
      <c r="I224" s="2" t="str">
        <f aca="false">IF(C224="","Open","Resolved")</f>
        <v>Resolved</v>
      </c>
      <c r="J224" s="2" t="str">
        <f aca="false">TEXT(B224,"yyyy-mm")</f>
        <v>2026-02</v>
      </c>
      <c r="K224" s="8" t="n">
        <f aca="false">IF(C224="","",ROUND((C224-B224)*24,2))</f>
        <v>3.43</v>
      </c>
      <c r="L224" s="2" t="n">
        <f aca="false">INDEX('SLA Policy'!$B$2:$B$5,MATCH(E224,'SLA Policy'!$A$2:$A$5,0))</f>
        <v>8</v>
      </c>
      <c r="M224" s="2" t="str">
        <f aca="false">IF(K224="","Open",IF(K224&lt;=L224,"Yes","No"))</f>
        <v>Yes</v>
      </c>
    </row>
    <row r="225" customFormat="false" ht="15" hidden="false" customHeight="false" outlineLevel="0" collapsed="false">
      <c r="A225" s="2" t="s">
        <v>259</v>
      </c>
      <c r="B225" s="7" t="n">
        <v>46057.3666666667</v>
      </c>
      <c r="C225" s="7" t="n">
        <v>46058.4111111111</v>
      </c>
      <c r="D225" s="2" t="s">
        <v>31</v>
      </c>
      <c r="E225" s="2" t="s">
        <v>32</v>
      </c>
      <c r="F225" s="2" t="s">
        <v>27</v>
      </c>
      <c r="G225" s="2" t="s">
        <v>33</v>
      </c>
      <c r="H225" s="2" t="n">
        <v>4</v>
      </c>
      <c r="I225" s="2" t="str">
        <f aca="false">IF(C225="","Open","Resolved")</f>
        <v>Resolved</v>
      </c>
      <c r="J225" s="2" t="str">
        <f aca="false">TEXT(B225,"yyyy-mm")</f>
        <v>2026-02</v>
      </c>
      <c r="K225" s="8" t="n">
        <f aca="false">IF(C225="","",ROUND((C225-B225)*24,2))</f>
        <v>25.07</v>
      </c>
      <c r="L225" s="2" t="n">
        <f aca="false">INDEX('SLA Policy'!$B$2:$B$5,MATCH(E225,'SLA Policy'!$A$2:$A$5,0))</f>
        <v>72</v>
      </c>
      <c r="M225" s="2" t="str">
        <f aca="false">IF(K225="","Open",IF(K225&lt;=L225,"Yes","No"))</f>
        <v>Yes</v>
      </c>
    </row>
    <row r="226" customFormat="false" ht="15" hidden="false" customHeight="false" outlineLevel="0" collapsed="false">
      <c r="A226" s="2" t="s">
        <v>260</v>
      </c>
      <c r="B226" s="7" t="n">
        <v>46057.5194444444</v>
      </c>
      <c r="C226" s="7" t="n">
        <v>46058.1513888889</v>
      </c>
      <c r="D226" s="2" t="s">
        <v>22</v>
      </c>
      <c r="E226" s="2" t="s">
        <v>35</v>
      </c>
      <c r="F226" s="2" t="s">
        <v>38</v>
      </c>
      <c r="G226" s="2" t="s">
        <v>25</v>
      </c>
      <c r="H226" s="2" t="n">
        <v>5</v>
      </c>
      <c r="I226" s="2" t="str">
        <f aca="false">IF(C226="","Open","Resolved")</f>
        <v>Resolved</v>
      </c>
      <c r="J226" s="2" t="str">
        <f aca="false">TEXT(B226,"yyyy-mm")</f>
        <v>2026-02</v>
      </c>
      <c r="K226" s="8" t="n">
        <f aca="false">IF(C226="","",ROUND((C226-B226)*24,2))</f>
        <v>15.17</v>
      </c>
      <c r="L226" s="2" t="n">
        <f aca="false">INDEX('SLA Policy'!$B$2:$B$5,MATCH(E226,'SLA Policy'!$A$2:$A$5,0))</f>
        <v>24</v>
      </c>
      <c r="M226" s="2" t="str">
        <f aca="false">IF(K226="","Open",IF(K226&lt;=L226,"Yes","No"))</f>
        <v>Yes</v>
      </c>
    </row>
    <row r="227" customFormat="false" ht="15" hidden="false" customHeight="false" outlineLevel="0" collapsed="false">
      <c r="A227" s="2" t="s">
        <v>261</v>
      </c>
      <c r="B227" s="7" t="n">
        <v>46057.6743055556</v>
      </c>
      <c r="C227" s="7" t="n">
        <v>46061.7118055556</v>
      </c>
      <c r="D227" s="2" t="s">
        <v>22</v>
      </c>
      <c r="E227" s="2" t="s">
        <v>35</v>
      </c>
      <c r="F227" s="2" t="s">
        <v>28</v>
      </c>
      <c r="G227" s="2" t="s">
        <v>25</v>
      </c>
      <c r="H227" s="2" t="n">
        <v>1</v>
      </c>
      <c r="I227" s="2" t="str">
        <f aca="false">IF(C227="","Open","Resolved")</f>
        <v>Resolved</v>
      </c>
      <c r="J227" s="2" t="str">
        <f aca="false">TEXT(B227,"yyyy-mm")</f>
        <v>2026-02</v>
      </c>
      <c r="K227" s="8" t="n">
        <f aca="false">IF(C227="","",ROUND((C227-B227)*24,2))</f>
        <v>96.9</v>
      </c>
      <c r="L227" s="2" t="n">
        <f aca="false">INDEX('SLA Policy'!$B$2:$B$5,MATCH(E227,'SLA Policy'!$A$2:$A$5,0))</f>
        <v>24</v>
      </c>
      <c r="M227" s="2" t="str">
        <f aca="false">IF(K227="","Open",IF(K227&lt;=L227,"Yes","No"))</f>
        <v>No</v>
      </c>
    </row>
    <row r="228" customFormat="false" ht="15" hidden="false" customHeight="false" outlineLevel="0" collapsed="false">
      <c r="A228" s="2" t="s">
        <v>262</v>
      </c>
      <c r="B228" s="7" t="n">
        <v>46057.7013888889</v>
      </c>
      <c r="C228" s="7" t="n">
        <v>46058.3263888889</v>
      </c>
      <c r="D228" s="2" t="s">
        <v>27</v>
      </c>
      <c r="E228" s="2" t="s">
        <v>35</v>
      </c>
      <c r="F228" s="2" t="s">
        <v>27</v>
      </c>
      <c r="G228" s="2" t="s">
        <v>29</v>
      </c>
      <c r="H228" s="2" t="n">
        <v>3</v>
      </c>
      <c r="I228" s="2" t="str">
        <f aca="false">IF(C228="","Open","Resolved")</f>
        <v>Resolved</v>
      </c>
      <c r="J228" s="2" t="str">
        <f aca="false">TEXT(B228,"yyyy-mm")</f>
        <v>2026-02</v>
      </c>
      <c r="K228" s="8" t="n">
        <f aca="false">IF(C228="","",ROUND((C228-B228)*24,2))</f>
        <v>15</v>
      </c>
      <c r="L228" s="2" t="n">
        <f aca="false">INDEX('SLA Policy'!$B$2:$B$5,MATCH(E228,'SLA Policy'!$A$2:$A$5,0))</f>
        <v>24</v>
      </c>
      <c r="M228" s="2" t="str">
        <f aca="false">IF(K228="","Open",IF(K228&lt;=L228,"Yes","No"))</f>
        <v>Yes</v>
      </c>
    </row>
    <row r="229" customFormat="false" ht="15" hidden="false" customHeight="false" outlineLevel="0" collapsed="false">
      <c r="A229" s="2" t="s">
        <v>263</v>
      </c>
      <c r="B229" s="7" t="n">
        <v>46057.7125</v>
      </c>
      <c r="C229" s="7" t="n">
        <v>46058.2270833333</v>
      </c>
      <c r="D229" s="2" t="s">
        <v>31</v>
      </c>
      <c r="E229" s="2" t="s">
        <v>35</v>
      </c>
      <c r="F229" s="2" t="s">
        <v>27</v>
      </c>
      <c r="G229" s="2" t="s">
        <v>33</v>
      </c>
      <c r="H229" s="2" t="n">
        <v>5</v>
      </c>
      <c r="I229" s="2" t="str">
        <f aca="false">IF(C229="","Open","Resolved")</f>
        <v>Resolved</v>
      </c>
      <c r="J229" s="2" t="str">
        <f aca="false">TEXT(B229,"yyyy-mm")</f>
        <v>2026-02</v>
      </c>
      <c r="K229" s="8" t="n">
        <f aca="false">IF(C229="","",ROUND((C229-B229)*24,2))</f>
        <v>12.35</v>
      </c>
      <c r="L229" s="2" t="n">
        <f aca="false">INDEX('SLA Policy'!$B$2:$B$5,MATCH(E229,'SLA Policy'!$A$2:$A$5,0))</f>
        <v>24</v>
      </c>
      <c r="M229" s="2" t="str">
        <f aca="false">IF(K229="","Open",IF(K229&lt;=L229,"Yes","No"))</f>
        <v>Yes</v>
      </c>
    </row>
    <row r="230" customFormat="false" ht="15" hidden="false" customHeight="false" outlineLevel="0" collapsed="false">
      <c r="A230" s="2" t="s">
        <v>264</v>
      </c>
      <c r="B230" s="7" t="n">
        <v>46057.7381944444</v>
      </c>
      <c r="C230" s="7" t="n">
        <v>46061.2472222222</v>
      </c>
      <c r="D230" s="2" t="s">
        <v>48</v>
      </c>
      <c r="E230" s="2" t="s">
        <v>32</v>
      </c>
      <c r="F230" s="2" t="s">
        <v>27</v>
      </c>
      <c r="G230" s="2" t="s">
        <v>25</v>
      </c>
      <c r="H230" s="2" t="n">
        <v>2</v>
      </c>
      <c r="I230" s="2" t="str">
        <f aca="false">IF(C230="","Open","Resolved")</f>
        <v>Resolved</v>
      </c>
      <c r="J230" s="2" t="str">
        <f aca="false">TEXT(B230,"yyyy-mm")</f>
        <v>2026-02</v>
      </c>
      <c r="K230" s="8" t="n">
        <f aca="false">IF(C230="","",ROUND((C230-B230)*24,2))</f>
        <v>84.22</v>
      </c>
      <c r="L230" s="2" t="n">
        <f aca="false">INDEX('SLA Policy'!$B$2:$B$5,MATCH(E230,'SLA Policy'!$A$2:$A$5,0))</f>
        <v>72</v>
      </c>
      <c r="M230" s="2" t="str">
        <f aca="false">IF(K230="","Open",IF(K230&lt;=L230,"Yes","No"))</f>
        <v>No</v>
      </c>
    </row>
    <row r="231" customFormat="false" ht="15" hidden="false" customHeight="false" outlineLevel="0" collapsed="false">
      <c r="A231" s="2" t="s">
        <v>265</v>
      </c>
      <c r="B231" s="7" t="n">
        <v>46058.3423611111</v>
      </c>
      <c r="C231" s="7" t="n">
        <v>46058.7444444444</v>
      </c>
      <c r="D231" s="2" t="s">
        <v>42</v>
      </c>
      <c r="E231" s="2" t="s">
        <v>35</v>
      </c>
      <c r="F231" s="2" t="s">
        <v>27</v>
      </c>
      <c r="G231" s="2" t="s">
        <v>29</v>
      </c>
      <c r="H231" s="2" t="n">
        <v>3</v>
      </c>
      <c r="I231" s="2" t="str">
        <f aca="false">IF(C231="","Open","Resolved")</f>
        <v>Resolved</v>
      </c>
      <c r="J231" s="2" t="str">
        <f aca="false">TEXT(B231,"yyyy-mm")</f>
        <v>2026-02</v>
      </c>
      <c r="K231" s="8" t="n">
        <f aca="false">IF(C231="","",ROUND((C231-B231)*24,2))</f>
        <v>9.65</v>
      </c>
      <c r="L231" s="2" t="n">
        <f aca="false">INDEX('SLA Policy'!$B$2:$B$5,MATCH(E231,'SLA Policy'!$A$2:$A$5,0))</f>
        <v>24</v>
      </c>
      <c r="M231" s="2" t="str">
        <f aca="false">IF(K231="","Open",IF(K231&lt;=L231,"Yes","No"))</f>
        <v>Yes</v>
      </c>
    </row>
    <row r="232" customFormat="false" ht="15" hidden="false" customHeight="false" outlineLevel="0" collapsed="false">
      <c r="A232" s="2" t="s">
        <v>266</v>
      </c>
      <c r="B232" s="7" t="n">
        <v>46058.3444444445</v>
      </c>
      <c r="C232" s="7" t="n">
        <v>46058.5666666667</v>
      </c>
      <c r="D232" s="2" t="s">
        <v>27</v>
      </c>
      <c r="E232" s="2" t="s">
        <v>23</v>
      </c>
      <c r="F232" s="2" t="s">
        <v>38</v>
      </c>
      <c r="G232" s="2" t="s">
        <v>29</v>
      </c>
      <c r="H232" s="2" t="n">
        <v>5</v>
      </c>
      <c r="I232" s="2" t="str">
        <f aca="false">IF(C232="","Open","Resolved")</f>
        <v>Resolved</v>
      </c>
      <c r="J232" s="2" t="str">
        <f aca="false">TEXT(B232,"yyyy-mm")</f>
        <v>2026-02</v>
      </c>
      <c r="K232" s="8" t="n">
        <f aca="false">IF(C232="","",ROUND((C232-B232)*24,2))</f>
        <v>5.33</v>
      </c>
      <c r="L232" s="2" t="n">
        <f aca="false">INDEX('SLA Policy'!$B$2:$B$5,MATCH(E232,'SLA Policy'!$A$2:$A$5,0))</f>
        <v>8</v>
      </c>
      <c r="M232" s="2" t="str">
        <f aca="false">IF(K232="","Open",IF(K232&lt;=L232,"Yes","No"))</f>
        <v>Yes</v>
      </c>
    </row>
    <row r="233" customFormat="false" ht="15" hidden="false" customHeight="false" outlineLevel="0" collapsed="false">
      <c r="A233" s="2" t="s">
        <v>267</v>
      </c>
      <c r="B233" s="7" t="n">
        <v>46058.3631944444</v>
      </c>
      <c r="C233" s="7" t="n">
        <v>46058.9701388889</v>
      </c>
      <c r="D233" s="2" t="s">
        <v>31</v>
      </c>
      <c r="E233" s="2" t="s">
        <v>35</v>
      </c>
      <c r="F233" s="2" t="s">
        <v>38</v>
      </c>
      <c r="G233" s="2" t="s">
        <v>33</v>
      </c>
      <c r="H233" s="2" t="n">
        <v>4</v>
      </c>
      <c r="I233" s="2" t="str">
        <f aca="false">IF(C233="","Open","Resolved")</f>
        <v>Resolved</v>
      </c>
      <c r="J233" s="2" t="str">
        <f aca="false">TEXT(B233,"yyyy-mm")</f>
        <v>2026-02</v>
      </c>
      <c r="K233" s="8" t="n">
        <f aca="false">IF(C233="","",ROUND((C233-B233)*24,2))</f>
        <v>14.57</v>
      </c>
      <c r="L233" s="2" t="n">
        <f aca="false">INDEX('SLA Policy'!$B$2:$B$5,MATCH(E233,'SLA Policy'!$A$2:$A$5,0))</f>
        <v>24</v>
      </c>
      <c r="M233" s="2" t="str">
        <f aca="false">IF(K233="","Open",IF(K233&lt;=L233,"Yes","No"))</f>
        <v>Yes</v>
      </c>
    </row>
    <row r="234" customFormat="false" ht="15" hidden="false" customHeight="false" outlineLevel="0" collapsed="false">
      <c r="A234" s="2" t="s">
        <v>268</v>
      </c>
      <c r="B234" s="7" t="n">
        <v>46058.3715277778</v>
      </c>
      <c r="C234" s="7" t="n">
        <v>46060.0909722222</v>
      </c>
      <c r="D234" s="2" t="s">
        <v>22</v>
      </c>
      <c r="E234" s="2" t="s">
        <v>32</v>
      </c>
      <c r="F234" s="2" t="s">
        <v>38</v>
      </c>
      <c r="G234" s="2" t="s">
        <v>25</v>
      </c>
      <c r="H234" s="2" t="n">
        <v>5</v>
      </c>
      <c r="I234" s="2" t="str">
        <f aca="false">IF(C234="","Open","Resolved")</f>
        <v>Resolved</v>
      </c>
      <c r="J234" s="2" t="str">
        <f aca="false">TEXT(B234,"yyyy-mm")</f>
        <v>2026-02</v>
      </c>
      <c r="K234" s="8" t="n">
        <f aca="false">IF(C234="","",ROUND((C234-B234)*24,2))</f>
        <v>41.27</v>
      </c>
      <c r="L234" s="2" t="n">
        <f aca="false">INDEX('SLA Policy'!$B$2:$B$5,MATCH(E234,'SLA Policy'!$A$2:$A$5,0))</f>
        <v>72</v>
      </c>
      <c r="M234" s="2" t="str">
        <f aca="false">IF(K234="","Open",IF(K234&lt;=L234,"Yes","No"))</f>
        <v>Yes</v>
      </c>
    </row>
    <row r="235" customFormat="false" ht="15" hidden="false" customHeight="false" outlineLevel="0" collapsed="false">
      <c r="A235" s="2" t="s">
        <v>269</v>
      </c>
      <c r="B235" s="7" t="n">
        <v>46058.3770833333</v>
      </c>
      <c r="C235" s="7" t="n">
        <v>46059.1840277778</v>
      </c>
      <c r="D235" s="2" t="s">
        <v>31</v>
      </c>
      <c r="E235" s="2" t="s">
        <v>35</v>
      </c>
      <c r="F235" s="2" t="s">
        <v>28</v>
      </c>
      <c r="G235" s="2" t="s">
        <v>33</v>
      </c>
      <c r="H235" s="2" t="n">
        <v>4</v>
      </c>
      <c r="I235" s="2" t="str">
        <f aca="false">IF(C235="","Open","Resolved")</f>
        <v>Resolved</v>
      </c>
      <c r="J235" s="2" t="str">
        <f aca="false">TEXT(B235,"yyyy-mm")</f>
        <v>2026-02</v>
      </c>
      <c r="K235" s="8" t="n">
        <f aca="false">IF(C235="","",ROUND((C235-B235)*24,2))</f>
        <v>19.37</v>
      </c>
      <c r="L235" s="2" t="n">
        <f aca="false">INDEX('SLA Policy'!$B$2:$B$5,MATCH(E235,'SLA Policy'!$A$2:$A$5,0))</f>
        <v>24</v>
      </c>
      <c r="M235" s="2" t="str">
        <f aca="false">IF(K235="","Open",IF(K235&lt;=L235,"Yes","No"))</f>
        <v>Yes</v>
      </c>
    </row>
    <row r="236" customFormat="false" ht="15" hidden="false" customHeight="false" outlineLevel="0" collapsed="false">
      <c r="A236" s="2" t="s">
        <v>270</v>
      </c>
      <c r="B236" s="7" t="n">
        <v>46058.4479166667</v>
      </c>
      <c r="C236" s="7" t="n">
        <v>46058.6701388889</v>
      </c>
      <c r="D236" s="2" t="s">
        <v>42</v>
      </c>
      <c r="E236" s="2" t="s">
        <v>35</v>
      </c>
      <c r="F236" s="2" t="s">
        <v>38</v>
      </c>
      <c r="G236" s="2" t="s">
        <v>29</v>
      </c>
      <c r="H236" s="2" t="n">
        <v>5</v>
      </c>
      <c r="I236" s="2" t="str">
        <f aca="false">IF(C236="","Open","Resolved")</f>
        <v>Resolved</v>
      </c>
      <c r="J236" s="2" t="str">
        <f aca="false">TEXT(B236,"yyyy-mm")</f>
        <v>2026-02</v>
      </c>
      <c r="K236" s="8" t="n">
        <f aca="false">IF(C236="","",ROUND((C236-B236)*24,2))</f>
        <v>5.33</v>
      </c>
      <c r="L236" s="2" t="n">
        <f aca="false">INDEX('SLA Policy'!$B$2:$B$5,MATCH(E236,'SLA Policy'!$A$2:$A$5,0))</f>
        <v>24</v>
      </c>
      <c r="M236" s="2" t="str">
        <f aca="false">IF(K236="","Open",IF(K236&lt;=L236,"Yes","No"))</f>
        <v>Yes</v>
      </c>
    </row>
    <row r="237" customFormat="false" ht="15" hidden="false" customHeight="false" outlineLevel="0" collapsed="false">
      <c r="A237" s="2" t="s">
        <v>271</v>
      </c>
      <c r="B237" s="7" t="n">
        <v>46058.4756944445</v>
      </c>
      <c r="C237" s="7" t="n">
        <v>46060.6097222222</v>
      </c>
      <c r="D237" s="2" t="s">
        <v>31</v>
      </c>
      <c r="E237" s="2" t="s">
        <v>32</v>
      </c>
      <c r="F237" s="2" t="s">
        <v>28</v>
      </c>
      <c r="G237" s="2" t="s">
        <v>33</v>
      </c>
      <c r="H237" s="2" t="n">
        <v>3</v>
      </c>
      <c r="I237" s="2" t="str">
        <f aca="false">IF(C237="","Open","Resolved")</f>
        <v>Resolved</v>
      </c>
      <c r="J237" s="2" t="str">
        <f aca="false">TEXT(B237,"yyyy-mm")</f>
        <v>2026-02</v>
      </c>
      <c r="K237" s="8" t="n">
        <f aca="false">IF(C237="","",ROUND((C237-B237)*24,2))</f>
        <v>51.22</v>
      </c>
      <c r="L237" s="2" t="n">
        <f aca="false">INDEX('SLA Policy'!$B$2:$B$5,MATCH(E237,'SLA Policy'!$A$2:$A$5,0))</f>
        <v>72</v>
      </c>
      <c r="M237" s="2" t="str">
        <f aca="false">IF(K237="","Open",IF(K237&lt;=L237,"Yes","No"))</f>
        <v>Yes</v>
      </c>
    </row>
    <row r="238" customFormat="false" ht="15" hidden="false" customHeight="false" outlineLevel="0" collapsed="false">
      <c r="A238" s="2" t="s">
        <v>272</v>
      </c>
      <c r="B238" s="7" t="n">
        <v>46058.49375</v>
      </c>
      <c r="C238" s="7" t="n">
        <v>46059.4715277778</v>
      </c>
      <c r="D238" s="2" t="s">
        <v>27</v>
      </c>
      <c r="E238" s="2" t="s">
        <v>32</v>
      </c>
      <c r="F238" s="2" t="s">
        <v>28</v>
      </c>
      <c r="G238" s="2" t="s">
        <v>29</v>
      </c>
      <c r="H238" s="2" t="n">
        <v>4</v>
      </c>
      <c r="I238" s="2" t="str">
        <f aca="false">IF(C238="","Open","Resolved")</f>
        <v>Resolved</v>
      </c>
      <c r="J238" s="2" t="str">
        <f aca="false">TEXT(B238,"yyyy-mm")</f>
        <v>2026-02</v>
      </c>
      <c r="K238" s="8" t="n">
        <f aca="false">IF(C238="","",ROUND((C238-B238)*24,2))</f>
        <v>23.47</v>
      </c>
      <c r="L238" s="2" t="n">
        <f aca="false">INDEX('SLA Policy'!$B$2:$B$5,MATCH(E238,'SLA Policy'!$A$2:$A$5,0))</f>
        <v>72</v>
      </c>
      <c r="M238" s="2" t="str">
        <f aca="false">IF(K238="","Open",IF(K238&lt;=L238,"Yes","No"))</f>
        <v>Yes</v>
      </c>
    </row>
    <row r="239" customFormat="false" ht="15" hidden="false" customHeight="false" outlineLevel="0" collapsed="false">
      <c r="A239" s="2" t="s">
        <v>273</v>
      </c>
      <c r="B239" s="7" t="n">
        <v>46058.6354166667</v>
      </c>
      <c r="C239" s="7" t="n">
        <v>46059.1333333333</v>
      </c>
      <c r="D239" s="2" t="s">
        <v>22</v>
      </c>
      <c r="E239" s="2" t="s">
        <v>23</v>
      </c>
      <c r="F239" s="2" t="s">
        <v>27</v>
      </c>
      <c r="G239" s="2" t="s">
        <v>25</v>
      </c>
      <c r="H239" s="2" t="n">
        <v>4</v>
      </c>
      <c r="I239" s="2" t="str">
        <f aca="false">IF(C239="","Open","Resolved")</f>
        <v>Resolved</v>
      </c>
      <c r="J239" s="2" t="str">
        <f aca="false">TEXT(B239,"yyyy-mm")</f>
        <v>2026-02</v>
      </c>
      <c r="K239" s="8" t="n">
        <f aca="false">IF(C239="","",ROUND((C239-B239)*24,2))</f>
        <v>11.95</v>
      </c>
      <c r="L239" s="2" t="n">
        <f aca="false">INDEX('SLA Policy'!$B$2:$B$5,MATCH(E239,'SLA Policy'!$A$2:$A$5,0))</f>
        <v>8</v>
      </c>
      <c r="M239" s="2" t="str">
        <f aca="false">IF(K239="","Open",IF(K239&lt;=L239,"Yes","No"))</f>
        <v>No</v>
      </c>
    </row>
    <row r="240" customFormat="false" ht="15" hidden="false" customHeight="false" outlineLevel="0" collapsed="false">
      <c r="A240" s="2" t="s">
        <v>274</v>
      </c>
      <c r="B240" s="7" t="n">
        <v>46058.7875</v>
      </c>
      <c r="C240" s="7" t="n">
        <v>46059.9506944444</v>
      </c>
      <c r="D240" s="2" t="s">
        <v>22</v>
      </c>
      <c r="E240" s="2" t="s">
        <v>35</v>
      </c>
      <c r="F240" s="2" t="s">
        <v>24</v>
      </c>
      <c r="G240" s="2" t="s">
        <v>25</v>
      </c>
      <c r="H240" s="2" t="n">
        <v>3</v>
      </c>
      <c r="I240" s="2" t="str">
        <f aca="false">IF(C240="","Open","Resolved")</f>
        <v>Resolved</v>
      </c>
      <c r="J240" s="2" t="str">
        <f aca="false">TEXT(B240,"yyyy-mm")</f>
        <v>2026-02</v>
      </c>
      <c r="K240" s="8" t="n">
        <f aca="false">IF(C240="","",ROUND((C240-B240)*24,2))</f>
        <v>27.92</v>
      </c>
      <c r="L240" s="2" t="n">
        <f aca="false">INDEX('SLA Policy'!$B$2:$B$5,MATCH(E240,'SLA Policy'!$A$2:$A$5,0))</f>
        <v>24</v>
      </c>
      <c r="M240" s="2" t="str">
        <f aca="false">IF(K240="","Open",IF(K240&lt;=L240,"Yes","No"))</f>
        <v>No</v>
      </c>
    </row>
    <row r="241" customFormat="false" ht="15" hidden="false" customHeight="false" outlineLevel="0" collapsed="false">
      <c r="A241" s="2" t="s">
        <v>275</v>
      </c>
      <c r="B241" s="7" t="n">
        <v>46059.3069444444</v>
      </c>
      <c r="C241" s="7" t="n">
        <v>46059.6680555556</v>
      </c>
      <c r="D241" s="2" t="s">
        <v>27</v>
      </c>
      <c r="E241" s="2" t="s">
        <v>32</v>
      </c>
      <c r="F241" s="2" t="s">
        <v>24</v>
      </c>
      <c r="G241" s="2" t="s">
        <v>29</v>
      </c>
      <c r="H241" s="2" t="n">
        <v>3</v>
      </c>
      <c r="I241" s="2" t="str">
        <f aca="false">IF(C241="","Open","Resolved")</f>
        <v>Resolved</v>
      </c>
      <c r="J241" s="2" t="str">
        <f aca="false">TEXT(B241,"yyyy-mm")</f>
        <v>2026-02</v>
      </c>
      <c r="K241" s="8" t="n">
        <f aca="false">IF(C241="","",ROUND((C241-B241)*24,2))</f>
        <v>8.67</v>
      </c>
      <c r="L241" s="2" t="n">
        <f aca="false">INDEX('SLA Policy'!$B$2:$B$5,MATCH(E241,'SLA Policy'!$A$2:$A$5,0))</f>
        <v>72</v>
      </c>
      <c r="M241" s="2" t="str">
        <f aca="false">IF(K241="","Open",IF(K241&lt;=L241,"Yes","No"))</f>
        <v>Yes</v>
      </c>
    </row>
    <row r="242" customFormat="false" ht="15" hidden="false" customHeight="false" outlineLevel="0" collapsed="false">
      <c r="A242" s="2" t="s">
        <v>276</v>
      </c>
      <c r="B242" s="7" t="n">
        <v>46059.4701388889</v>
      </c>
      <c r="C242" s="7" t="n">
        <v>46059.6090277778</v>
      </c>
      <c r="D242" s="2" t="s">
        <v>31</v>
      </c>
      <c r="E242" s="2" t="s">
        <v>23</v>
      </c>
      <c r="F242" s="2" t="s">
        <v>27</v>
      </c>
      <c r="G242" s="2" t="s">
        <v>33</v>
      </c>
      <c r="H242" s="2" t="n">
        <v>5</v>
      </c>
      <c r="I242" s="2" t="str">
        <f aca="false">IF(C242="","Open","Resolved")</f>
        <v>Resolved</v>
      </c>
      <c r="J242" s="2" t="str">
        <f aca="false">TEXT(B242,"yyyy-mm")</f>
        <v>2026-02</v>
      </c>
      <c r="K242" s="8" t="n">
        <f aca="false">IF(C242="","",ROUND((C242-B242)*24,2))</f>
        <v>3.33</v>
      </c>
      <c r="L242" s="2" t="n">
        <f aca="false">INDEX('SLA Policy'!$B$2:$B$5,MATCH(E242,'SLA Policy'!$A$2:$A$5,0))</f>
        <v>8</v>
      </c>
      <c r="M242" s="2" t="str">
        <f aca="false">IF(K242="","Open",IF(K242&lt;=L242,"Yes","No"))</f>
        <v>Yes</v>
      </c>
    </row>
    <row r="243" customFormat="false" ht="15" hidden="false" customHeight="false" outlineLevel="0" collapsed="false">
      <c r="A243" s="2" t="s">
        <v>277</v>
      </c>
      <c r="B243" s="7" t="n">
        <v>46059.4701388889</v>
      </c>
      <c r="C243" s="7" t="n">
        <v>46059.925</v>
      </c>
      <c r="D243" s="2" t="s">
        <v>27</v>
      </c>
      <c r="E243" s="2" t="s">
        <v>23</v>
      </c>
      <c r="F243" s="2" t="s">
        <v>24</v>
      </c>
      <c r="G243" s="2" t="s">
        <v>29</v>
      </c>
      <c r="H243" s="2" t="n">
        <v>4</v>
      </c>
      <c r="I243" s="2" t="str">
        <f aca="false">IF(C243="","Open","Resolved")</f>
        <v>Resolved</v>
      </c>
      <c r="J243" s="2" t="str">
        <f aca="false">TEXT(B243,"yyyy-mm")</f>
        <v>2026-02</v>
      </c>
      <c r="K243" s="8" t="n">
        <f aca="false">IF(C243="","",ROUND((C243-B243)*24,2))</f>
        <v>10.92</v>
      </c>
      <c r="L243" s="2" t="n">
        <f aca="false">INDEX('SLA Policy'!$B$2:$B$5,MATCH(E243,'SLA Policy'!$A$2:$A$5,0))</f>
        <v>8</v>
      </c>
      <c r="M243" s="2" t="str">
        <f aca="false">IF(K243="","Open",IF(K243&lt;=L243,"Yes","No"))</f>
        <v>No</v>
      </c>
    </row>
    <row r="244" customFormat="false" ht="15" hidden="false" customHeight="false" outlineLevel="0" collapsed="false">
      <c r="A244" s="2" t="s">
        <v>278</v>
      </c>
      <c r="B244" s="7" t="n">
        <v>46059.5111111111</v>
      </c>
      <c r="C244" s="7" t="n">
        <v>46060.4145833333</v>
      </c>
      <c r="D244" s="2" t="s">
        <v>42</v>
      </c>
      <c r="E244" s="2" t="s">
        <v>32</v>
      </c>
      <c r="F244" s="2" t="s">
        <v>24</v>
      </c>
      <c r="G244" s="2" t="s">
        <v>29</v>
      </c>
      <c r="H244" s="2" t="n">
        <v>4</v>
      </c>
      <c r="I244" s="2" t="str">
        <f aca="false">IF(C244="","Open","Resolved")</f>
        <v>Resolved</v>
      </c>
      <c r="J244" s="2" t="str">
        <f aca="false">TEXT(B244,"yyyy-mm")</f>
        <v>2026-02</v>
      </c>
      <c r="K244" s="8" t="n">
        <f aca="false">IF(C244="","",ROUND((C244-B244)*24,2))</f>
        <v>21.68</v>
      </c>
      <c r="L244" s="2" t="n">
        <f aca="false">INDEX('SLA Policy'!$B$2:$B$5,MATCH(E244,'SLA Policy'!$A$2:$A$5,0))</f>
        <v>72</v>
      </c>
      <c r="M244" s="2" t="str">
        <f aca="false">IF(K244="","Open",IF(K244&lt;=L244,"Yes","No"))</f>
        <v>Yes</v>
      </c>
    </row>
    <row r="245" customFormat="false" ht="15" hidden="false" customHeight="false" outlineLevel="0" collapsed="false">
      <c r="A245" s="2" t="s">
        <v>279</v>
      </c>
      <c r="B245" s="7" t="n">
        <v>46059.5513888889</v>
      </c>
      <c r="C245" s="7" t="n">
        <v>46062.9368055556</v>
      </c>
      <c r="D245" s="2" t="s">
        <v>31</v>
      </c>
      <c r="E245" s="2" t="s">
        <v>32</v>
      </c>
      <c r="F245" s="2" t="s">
        <v>24</v>
      </c>
      <c r="G245" s="2" t="s">
        <v>33</v>
      </c>
      <c r="H245" s="2" t="n">
        <v>1</v>
      </c>
      <c r="I245" s="2" t="str">
        <f aca="false">IF(C245="","Open","Resolved")</f>
        <v>Resolved</v>
      </c>
      <c r="J245" s="2" t="str">
        <f aca="false">TEXT(B245,"yyyy-mm")</f>
        <v>2026-02</v>
      </c>
      <c r="K245" s="8" t="n">
        <f aca="false">IF(C245="","",ROUND((C245-B245)*24,2))</f>
        <v>81.25</v>
      </c>
      <c r="L245" s="2" t="n">
        <f aca="false">INDEX('SLA Policy'!$B$2:$B$5,MATCH(E245,'SLA Policy'!$A$2:$A$5,0))</f>
        <v>72</v>
      </c>
      <c r="M245" s="2" t="str">
        <f aca="false">IF(K245="","Open",IF(K245&lt;=L245,"Yes","No"))</f>
        <v>No</v>
      </c>
    </row>
    <row r="246" customFormat="false" ht="15" hidden="false" customHeight="false" outlineLevel="0" collapsed="false">
      <c r="A246" s="2" t="s">
        <v>280</v>
      </c>
      <c r="B246" s="7" t="n">
        <v>46060.5611111111</v>
      </c>
      <c r="C246" s="7" t="n">
        <v>46063.5958333333</v>
      </c>
      <c r="D246" s="2" t="s">
        <v>27</v>
      </c>
      <c r="E246" s="2" t="s">
        <v>32</v>
      </c>
      <c r="F246" s="2" t="s">
        <v>28</v>
      </c>
      <c r="G246" s="2" t="s">
        <v>29</v>
      </c>
      <c r="H246" s="2" t="n">
        <v>1</v>
      </c>
      <c r="I246" s="2" t="str">
        <f aca="false">IF(C246="","Open","Resolved")</f>
        <v>Resolved</v>
      </c>
      <c r="J246" s="2" t="str">
        <f aca="false">TEXT(B246,"yyyy-mm")</f>
        <v>2026-02</v>
      </c>
      <c r="K246" s="8" t="n">
        <f aca="false">IF(C246="","",ROUND((C246-B246)*24,2))</f>
        <v>72.83</v>
      </c>
      <c r="L246" s="2" t="n">
        <f aca="false">INDEX('SLA Policy'!$B$2:$B$5,MATCH(E246,'SLA Policy'!$A$2:$A$5,0))</f>
        <v>72</v>
      </c>
      <c r="M246" s="2" t="str">
        <f aca="false">IF(K246="","Open",IF(K246&lt;=L246,"Yes","No"))</f>
        <v>No</v>
      </c>
    </row>
    <row r="247" customFormat="false" ht="15" hidden="false" customHeight="false" outlineLevel="0" collapsed="false">
      <c r="A247" s="2" t="s">
        <v>281</v>
      </c>
      <c r="B247" s="7" t="n">
        <v>46060.63125</v>
      </c>
      <c r="C247" s="7" t="n">
        <v>46061.6958333333</v>
      </c>
      <c r="D247" s="2" t="s">
        <v>22</v>
      </c>
      <c r="E247" s="2" t="s">
        <v>35</v>
      </c>
      <c r="F247" s="2" t="s">
        <v>24</v>
      </c>
      <c r="G247" s="2" t="s">
        <v>25</v>
      </c>
      <c r="H247" s="2" t="n">
        <v>4</v>
      </c>
      <c r="I247" s="2" t="str">
        <f aca="false">IF(C247="","Open","Resolved")</f>
        <v>Resolved</v>
      </c>
      <c r="J247" s="2" t="str">
        <f aca="false">TEXT(B247,"yyyy-mm")</f>
        <v>2026-02</v>
      </c>
      <c r="K247" s="8" t="n">
        <f aca="false">IF(C247="","",ROUND((C247-B247)*24,2))</f>
        <v>25.55</v>
      </c>
      <c r="L247" s="2" t="n">
        <f aca="false">INDEX('SLA Policy'!$B$2:$B$5,MATCH(E247,'SLA Policy'!$A$2:$A$5,0))</f>
        <v>24</v>
      </c>
      <c r="M247" s="2" t="str">
        <f aca="false">IF(K247="","Open",IF(K247&lt;=L247,"Yes","No"))</f>
        <v>No</v>
      </c>
    </row>
    <row r="248" customFormat="false" ht="15" hidden="false" customHeight="false" outlineLevel="0" collapsed="false">
      <c r="A248" s="2" t="s">
        <v>282</v>
      </c>
      <c r="B248" s="7" t="n">
        <v>46061.7097222222</v>
      </c>
      <c r="C248" s="7" t="n">
        <v>46062.7451388889</v>
      </c>
      <c r="D248" s="2" t="s">
        <v>22</v>
      </c>
      <c r="E248" s="2" t="s">
        <v>35</v>
      </c>
      <c r="F248" s="2" t="s">
        <v>28</v>
      </c>
      <c r="G248" s="2" t="s">
        <v>25</v>
      </c>
      <c r="H248" s="2" t="n">
        <v>4</v>
      </c>
      <c r="I248" s="2" t="str">
        <f aca="false">IF(C248="","Open","Resolved")</f>
        <v>Resolved</v>
      </c>
      <c r="J248" s="2" t="str">
        <f aca="false">TEXT(B248,"yyyy-mm")</f>
        <v>2026-02</v>
      </c>
      <c r="K248" s="8" t="n">
        <f aca="false">IF(C248="","",ROUND((C248-B248)*24,2))</f>
        <v>24.85</v>
      </c>
      <c r="L248" s="2" t="n">
        <f aca="false">INDEX('SLA Policy'!$B$2:$B$5,MATCH(E248,'SLA Policy'!$A$2:$A$5,0))</f>
        <v>24</v>
      </c>
      <c r="M248" s="2" t="str">
        <f aca="false">IF(K248="","Open",IF(K248&lt;=L248,"Yes","No"))</f>
        <v>No</v>
      </c>
    </row>
    <row r="249" customFormat="false" ht="15" hidden="false" customHeight="false" outlineLevel="0" collapsed="false">
      <c r="A249" s="2" t="s">
        <v>283</v>
      </c>
      <c r="B249" s="7" t="n">
        <v>46062.3409722222</v>
      </c>
      <c r="C249" s="7" t="n">
        <v>46062.99375</v>
      </c>
      <c r="D249" s="2" t="s">
        <v>31</v>
      </c>
      <c r="E249" s="2" t="s">
        <v>35</v>
      </c>
      <c r="F249" s="2" t="s">
        <v>28</v>
      </c>
      <c r="G249" s="2" t="s">
        <v>33</v>
      </c>
      <c r="H249" s="2" t="n">
        <v>4</v>
      </c>
      <c r="I249" s="2" t="str">
        <f aca="false">IF(C249="","Open","Resolved")</f>
        <v>Resolved</v>
      </c>
      <c r="J249" s="2" t="str">
        <f aca="false">TEXT(B249,"yyyy-mm")</f>
        <v>2026-02</v>
      </c>
      <c r="K249" s="8" t="n">
        <f aca="false">IF(C249="","",ROUND((C249-B249)*24,2))</f>
        <v>15.67</v>
      </c>
      <c r="L249" s="2" t="n">
        <f aca="false">INDEX('SLA Policy'!$B$2:$B$5,MATCH(E249,'SLA Policy'!$A$2:$A$5,0))</f>
        <v>24</v>
      </c>
      <c r="M249" s="2" t="str">
        <f aca="false">IF(K249="","Open",IF(K249&lt;=L249,"Yes","No"))</f>
        <v>Yes</v>
      </c>
    </row>
    <row r="250" customFormat="false" ht="15" hidden="false" customHeight="false" outlineLevel="0" collapsed="false">
      <c r="A250" s="2" t="s">
        <v>284</v>
      </c>
      <c r="B250" s="7" t="n">
        <v>46062.4243055556</v>
      </c>
      <c r="C250" s="7" t="n">
        <v>46063.375</v>
      </c>
      <c r="D250" s="2" t="s">
        <v>27</v>
      </c>
      <c r="E250" s="2" t="s">
        <v>35</v>
      </c>
      <c r="F250" s="2" t="s">
        <v>28</v>
      </c>
      <c r="G250" s="2" t="s">
        <v>29</v>
      </c>
      <c r="H250" s="2" t="n">
        <v>3</v>
      </c>
      <c r="I250" s="2" t="str">
        <f aca="false">IF(C250="","Open","Resolved")</f>
        <v>Resolved</v>
      </c>
      <c r="J250" s="2" t="str">
        <f aca="false">TEXT(B250,"yyyy-mm")</f>
        <v>2026-02</v>
      </c>
      <c r="K250" s="8" t="n">
        <f aca="false">IF(C250="","",ROUND((C250-B250)*24,2))</f>
        <v>22.82</v>
      </c>
      <c r="L250" s="2" t="n">
        <f aca="false">INDEX('SLA Policy'!$B$2:$B$5,MATCH(E250,'SLA Policy'!$A$2:$A$5,0))</f>
        <v>24</v>
      </c>
      <c r="M250" s="2" t="str">
        <f aca="false">IF(K250="","Open",IF(K250&lt;=L250,"Yes","No"))</f>
        <v>Yes</v>
      </c>
    </row>
    <row r="251" customFormat="false" ht="15" hidden="false" customHeight="false" outlineLevel="0" collapsed="false">
      <c r="A251" s="2" t="s">
        <v>285</v>
      </c>
      <c r="B251" s="7" t="n">
        <v>46062.4472222222</v>
      </c>
      <c r="C251" s="7" t="n">
        <v>46064.4041666667</v>
      </c>
      <c r="D251" s="2" t="s">
        <v>42</v>
      </c>
      <c r="E251" s="2" t="s">
        <v>32</v>
      </c>
      <c r="F251" s="2" t="s">
        <v>38</v>
      </c>
      <c r="G251" s="2" t="s">
        <v>29</v>
      </c>
      <c r="H251" s="2" t="n">
        <v>3</v>
      </c>
      <c r="I251" s="2" t="str">
        <f aca="false">IF(C251="","Open","Resolved")</f>
        <v>Resolved</v>
      </c>
      <c r="J251" s="2" t="str">
        <f aca="false">TEXT(B251,"yyyy-mm")</f>
        <v>2026-02</v>
      </c>
      <c r="K251" s="8" t="n">
        <f aca="false">IF(C251="","",ROUND((C251-B251)*24,2))</f>
        <v>46.97</v>
      </c>
      <c r="L251" s="2" t="n">
        <f aca="false">INDEX('SLA Policy'!$B$2:$B$5,MATCH(E251,'SLA Policy'!$A$2:$A$5,0))</f>
        <v>72</v>
      </c>
      <c r="M251" s="2" t="str">
        <f aca="false">IF(K251="","Open",IF(K251&lt;=L251,"Yes","No"))</f>
        <v>Yes</v>
      </c>
    </row>
    <row r="252" customFormat="false" ht="15" hidden="false" customHeight="false" outlineLevel="0" collapsed="false">
      <c r="A252" s="2" t="s">
        <v>286</v>
      </c>
      <c r="B252" s="7" t="n">
        <v>46062.4756944445</v>
      </c>
      <c r="C252" s="7" t="n">
        <v>46062.6326388889</v>
      </c>
      <c r="D252" s="2" t="s">
        <v>31</v>
      </c>
      <c r="E252" s="2" t="s">
        <v>23</v>
      </c>
      <c r="F252" s="2" t="s">
        <v>27</v>
      </c>
      <c r="G252" s="2" t="s">
        <v>33</v>
      </c>
      <c r="H252" s="2" t="n">
        <v>3</v>
      </c>
      <c r="I252" s="2" t="str">
        <f aca="false">IF(C252="","Open","Resolved")</f>
        <v>Resolved</v>
      </c>
      <c r="J252" s="2" t="str">
        <f aca="false">TEXT(B252,"yyyy-mm")</f>
        <v>2026-02</v>
      </c>
      <c r="K252" s="8" t="n">
        <f aca="false">IF(C252="","",ROUND((C252-B252)*24,2))</f>
        <v>3.77</v>
      </c>
      <c r="L252" s="2" t="n">
        <f aca="false">INDEX('SLA Policy'!$B$2:$B$5,MATCH(E252,'SLA Policy'!$A$2:$A$5,0))</f>
        <v>8</v>
      </c>
      <c r="M252" s="2" t="str">
        <f aca="false">IF(K252="","Open",IF(K252&lt;=L252,"Yes","No"))</f>
        <v>Yes</v>
      </c>
    </row>
    <row r="253" customFormat="false" ht="15" hidden="false" customHeight="false" outlineLevel="0" collapsed="false">
      <c r="A253" s="2" t="s">
        <v>287</v>
      </c>
      <c r="B253" s="7" t="n">
        <v>46062.4777777778</v>
      </c>
      <c r="C253" s="7" t="n">
        <v>46062.8569444444</v>
      </c>
      <c r="D253" s="2" t="s">
        <v>31</v>
      </c>
      <c r="E253" s="2" t="s">
        <v>35</v>
      </c>
      <c r="F253" s="2" t="s">
        <v>28</v>
      </c>
      <c r="G253" s="2" t="s">
        <v>33</v>
      </c>
      <c r="H253" s="2" t="n">
        <v>5</v>
      </c>
      <c r="I253" s="2" t="str">
        <f aca="false">IF(C253="","Open","Resolved")</f>
        <v>Resolved</v>
      </c>
      <c r="J253" s="2" t="str">
        <f aca="false">TEXT(B253,"yyyy-mm")</f>
        <v>2026-02</v>
      </c>
      <c r="K253" s="8" t="n">
        <f aca="false">IF(C253="","",ROUND((C253-B253)*24,2))</f>
        <v>9.1</v>
      </c>
      <c r="L253" s="2" t="n">
        <f aca="false">INDEX('SLA Policy'!$B$2:$B$5,MATCH(E253,'SLA Policy'!$A$2:$A$5,0))</f>
        <v>24</v>
      </c>
      <c r="M253" s="2" t="str">
        <f aca="false">IF(K253="","Open",IF(K253&lt;=L253,"Yes","No"))</f>
        <v>Yes</v>
      </c>
    </row>
    <row r="254" customFormat="false" ht="15" hidden="false" customHeight="false" outlineLevel="0" collapsed="false">
      <c r="A254" s="2" t="s">
        <v>288</v>
      </c>
      <c r="B254" s="7" t="n">
        <v>46062.5041666667</v>
      </c>
      <c r="C254" s="7" t="n">
        <v>46063.1659722222</v>
      </c>
      <c r="D254" s="2" t="s">
        <v>31</v>
      </c>
      <c r="E254" s="2" t="s">
        <v>35</v>
      </c>
      <c r="F254" s="2" t="s">
        <v>24</v>
      </c>
      <c r="G254" s="2" t="s">
        <v>33</v>
      </c>
      <c r="H254" s="2" t="n">
        <v>4</v>
      </c>
      <c r="I254" s="2" t="str">
        <f aca="false">IF(C254="","Open","Resolved")</f>
        <v>Resolved</v>
      </c>
      <c r="J254" s="2" t="str">
        <f aca="false">TEXT(B254,"yyyy-mm")</f>
        <v>2026-02</v>
      </c>
      <c r="K254" s="8" t="n">
        <f aca="false">IF(C254="","",ROUND((C254-B254)*24,2))</f>
        <v>15.88</v>
      </c>
      <c r="L254" s="2" t="n">
        <f aca="false">INDEX('SLA Policy'!$B$2:$B$5,MATCH(E254,'SLA Policy'!$A$2:$A$5,0))</f>
        <v>24</v>
      </c>
      <c r="M254" s="2" t="str">
        <f aca="false">IF(K254="","Open",IF(K254&lt;=L254,"Yes","No"))</f>
        <v>Yes</v>
      </c>
    </row>
    <row r="255" customFormat="false" ht="15" hidden="false" customHeight="false" outlineLevel="0" collapsed="false">
      <c r="A255" s="2" t="s">
        <v>289</v>
      </c>
      <c r="B255" s="7" t="n">
        <v>46062.5722222222</v>
      </c>
      <c r="C255" s="7" t="n">
        <v>46063.0513888889</v>
      </c>
      <c r="D255" s="2" t="s">
        <v>42</v>
      </c>
      <c r="E255" s="2" t="s">
        <v>35</v>
      </c>
      <c r="F255" s="2" t="s">
        <v>28</v>
      </c>
      <c r="G255" s="2" t="s">
        <v>29</v>
      </c>
      <c r="H255" s="2" t="n">
        <v>4</v>
      </c>
      <c r="I255" s="2" t="str">
        <f aca="false">IF(C255="","Open","Resolved")</f>
        <v>Resolved</v>
      </c>
      <c r="J255" s="2" t="str">
        <f aca="false">TEXT(B255,"yyyy-mm")</f>
        <v>2026-02</v>
      </c>
      <c r="K255" s="8" t="n">
        <f aca="false">IF(C255="","",ROUND((C255-B255)*24,2))</f>
        <v>11.5</v>
      </c>
      <c r="L255" s="2" t="n">
        <f aca="false">INDEX('SLA Policy'!$B$2:$B$5,MATCH(E255,'SLA Policy'!$A$2:$A$5,0))</f>
        <v>24</v>
      </c>
      <c r="M255" s="2" t="str">
        <f aca="false">IF(K255="","Open",IF(K255&lt;=L255,"Yes","No"))</f>
        <v>Yes</v>
      </c>
    </row>
    <row r="256" customFormat="false" ht="15" hidden="false" customHeight="false" outlineLevel="0" collapsed="false">
      <c r="A256" s="2" t="s">
        <v>290</v>
      </c>
      <c r="B256" s="7" t="n">
        <v>46062.75</v>
      </c>
      <c r="C256" s="7" t="n">
        <v>46063.3284722222</v>
      </c>
      <c r="D256" s="2" t="s">
        <v>27</v>
      </c>
      <c r="E256" s="2" t="s">
        <v>35</v>
      </c>
      <c r="F256" s="2" t="s">
        <v>38</v>
      </c>
      <c r="G256" s="2" t="s">
        <v>29</v>
      </c>
      <c r="H256" s="2" t="n">
        <v>5</v>
      </c>
      <c r="I256" s="2" t="str">
        <f aca="false">IF(C256="","Open","Resolved")</f>
        <v>Resolved</v>
      </c>
      <c r="J256" s="2" t="str">
        <f aca="false">TEXT(B256,"yyyy-mm")</f>
        <v>2026-02</v>
      </c>
      <c r="K256" s="8" t="n">
        <f aca="false">IF(C256="","",ROUND((C256-B256)*24,2))</f>
        <v>13.88</v>
      </c>
      <c r="L256" s="2" t="n">
        <f aca="false">INDEX('SLA Policy'!$B$2:$B$5,MATCH(E256,'SLA Policy'!$A$2:$A$5,0))</f>
        <v>24</v>
      </c>
      <c r="M256" s="2" t="str">
        <f aca="false">IF(K256="","Open",IF(K256&lt;=L256,"Yes","No"))</f>
        <v>Yes</v>
      </c>
    </row>
    <row r="257" customFormat="false" ht="15" hidden="false" customHeight="false" outlineLevel="0" collapsed="false">
      <c r="A257" s="2" t="s">
        <v>291</v>
      </c>
      <c r="B257" s="7" t="n">
        <v>46063.3152777778</v>
      </c>
      <c r="C257" s="7" t="n">
        <v>46063.7159722222</v>
      </c>
      <c r="D257" s="2" t="s">
        <v>27</v>
      </c>
      <c r="E257" s="2" t="s">
        <v>35</v>
      </c>
      <c r="F257" s="2" t="s">
        <v>27</v>
      </c>
      <c r="G257" s="2" t="s">
        <v>29</v>
      </c>
      <c r="H257" s="2" t="n">
        <v>5</v>
      </c>
      <c r="I257" s="2" t="str">
        <f aca="false">IF(C257="","Open","Resolved")</f>
        <v>Resolved</v>
      </c>
      <c r="J257" s="2" t="str">
        <f aca="false">TEXT(B257,"yyyy-mm")</f>
        <v>2026-02</v>
      </c>
      <c r="K257" s="8" t="n">
        <f aca="false">IF(C257="","",ROUND((C257-B257)*24,2))</f>
        <v>9.62</v>
      </c>
      <c r="L257" s="2" t="n">
        <f aca="false">INDEX('SLA Policy'!$B$2:$B$5,MATCH(E257,'SLA Policy'!$A$2:$A$5,0))</f>
        <v>24</v>
      </c>
      <c r="M257" s="2" t="str">
        <f aca="false">IF(K257="","Open",IF(K257&lt;=L257,"Yes","No"))</f>
        <v>Yes</v>
      </c>
    </row>
    <row r="258" customFormat="false" ht="15" hidden="false" customHeight="false" outlineLevel="0" collapsed="false">
      <c r="A258" s="2" t="s">
        <v>292</v>
      </c>
      <c r="B258" s="7" t="n">
        <v>46063.4027777778</v>
      </c>
      <c r="C258" s="7" t="n">
        <v>46064.4881944444</v>
      </c>
      <c r="D258" s="2" t="s">
        <v>48</v>
      </c>
      <c r="E258" s="2" t="s">
        <v>23</v>
      </c>
      <c r="F258" s="2" t="s">
        <v>38</v>
      </c>
      <c r="G258" s="2" t="s">
        <v>25</v>
      </c>
      <c r="H258" s="2" t="n">
        <v>3</v>
      </c>
      <c r="I258" s="2" t="str">
        <f aca="false">IF(C258="","Open","Resolved")</f>
        <v>Resolved</v>
      </c>
      <c r="J258" s="2" t="str">
        <f aca="false">TEXT(B258,"yyyy-mm")</f>
        <v>2026-02</v>
      </c>
      <c r="K258" s="8" t="n">
        <f aca="false">IF(C258="","",ROUND((C258-B258)*24,2))</f>
        <v>26.05</v>
      </c>
      <c r="L258" s="2" t="n">
        <f aca="false">INDEX('SLA Policy'!$B$2:$B$5,MATCH(E258,'SLA Policy'!$A$2:$A$5,0))</f>
        <v>8</v>
      </c>
      <c r="M258" s="2" t="str">
        <f aca="false">IF(K258="","Open",IF(K258&lt;=L258,"Yes","No"))</f>
        <v>No</v>
      </c>
    </row>
    <row r="259" customFormat="false" ht="15" hidden="false" customHeight="false" outlineLevel="0" collapsed="false">
      <c r="A259" s="2" t="s">
        <v>293</v>
      </c>
      <c r="B259" s="7" t="n">
        <v>46063.5423611111</v>
      </c>
      <c r="C259" s="7" t="n">
        <v>46063.8319444444</v>
      </c>
      <c r="D259" s="2" t="s">
        <v>42</v>
      </c>
      <c r="E259" s="2" t="s">
        <v>35</v>
      </c>
      <c r="F259" s="2" t="s">
        <v>38</v>
      </c>
      <c r="G259" s="2" t="s">
        <v>29</v>
      </c>
      <c r="H259" s="2" t="n">
        <v>5</v>
      </c>
      <c r="I259" s="2" t="str">
        <f aca="false">IF(C259="","Open","Resolved")</f>
        <v>Resolved</v>
      </c>
      <c r="J259" s="2" t="str">
        <f aca="false">TEXT(B259,"yyyy-mm")</f>
        <v>2026-02</v>
      </c>
      <c r="K259" s="8" t="n">
        <f aca="false">IF(C259="","",ROUND((C259-B259)*24,2))</f>
        <v>6.95</v>
      </c>
      <c r="L259" s="2" t="n">
        <f aca="false">INDEX('SLA Policy'!$B$2:$B$5,MATCH(E259,'SLA Policy'!$A$2:$A$5,0))</f>
        <v>24</v>
      </c>
      <c r="M259" s="2" t="str">
        <f aca="false">IF(K259="","Open",IF(K259&lt;=L259,"Yes","No"))</f>
        <v>Yes</v>
      </c>
    </row>
    <row r="260" customFormat="false" ht="15" hidden="false" customHeight="false" outlineLevel="0" collapsed="false">
      <c r="A260" s="2" t="s">
        <v>294</v>
      </c>
      <c r="B260" s="7" t="n">
        <v>46063.5444444444</v>
      </c>
      <c r="C260" s="7" t="n">
        <v>46063.9027777778</v>
      </c>
      <c r="D260" s="2" t="s">
        <v>31</v>
      </c>
      <c r="E260" s="2" t="s">
        <v>23</v>
      </c>
      <c r="F260" s="2" t="s">
        <v>28</v>
      </c>
      <c r="G260" s="2" t="s">
        <v>33</v>
      </c>
      <c r="H260" s="2" t="n">
        <v>4</v>
      </c>
      <c r="I260" s="2" t="str">
        <f aca="false">IF(C260="","Open","Resolved")</f>
        <v>Resolved</v>
      </c>
      <c r="J260" s="2" t="str">
        <f aca="false">TEXT(B260,"yyyy-mm")</f>
        <v>2026-02</v>
      </c>
      <c r="K260" s="8" t="n">
        <f aca="false">IF(C260="","",ROUND((C260-B260)*24,2))</f>
        <v>8.6</v>
      </c>
      <c r="L260" s="2" t="n">
        <f aca="false">INDEX('SLA Policy'!$B$2:$B$5,MATCH(E260,'SLA Policy'!$A$2:$A$5,0))</f>
        <v>8</v>
      </c>
      <c r="M260" s="2" t="str">
        <f aca="false">IF(K260="","Open",IF(K260&lt;=L260,"Yes","No"))</f>
        <v>No</v>
      </c>
    </row>
    <row r="261" customFormat="false" ht="15" hidden="false" customHeight="false" outlineLevel="0" collapsed="false">
      <c r="A261" s="2" t="s">
        <v>295</v>
      </c>
      <c r="B261" s="7" t="n">
        <v>46063.6354166667</v>
      </c>
      <c r="C261" s="7" t="n">
        <v>46065.0958333333</v>
      </c>
      <c r="D261" s="2" t="s">
        <v>48</v>
      </c>
      <c r="E261" s="2" t="s">
        <v>35</v>
      </c>
      <c r="F261" s="2" t="s">
        <v>38</v>
      </c>
      <c r="G261" s="2" t="s">
        <v>25</v>
      </c>
      <c r="H261" s="2" t="n">
        <v>5</v>
      </c>
      <c r="I261" s="2" t="str">
        <f aca="false">IF(C261="","Open","Resolved")</f>
        <v>Resolved</v>
      </c>
      <c r="J261" s="2" t="str">
        <f aca="false">TEXT(B261,"yyyy-mm")</f>
        <v>2026-02</v>
      </c>
      <c r="K261" s="8" t="n">
        <f aca="false">IF(C261="","",ROUND((C261-B261)*24,2))</f>
        <v>35.05</v>
      </c>
      <c r="L261" s="2" t="n">
        <f aca="false">INDEX('SLA Policy'!$B$2:$B$5,MATCH(E261,'SLA Policy'!$A$2:$A$5,0))</f>
        <v>24</v>
      </c>
      <c r="M261" s="2" t="str">
        <f aca="false">IF(K261="","Open",IF(K261&lt;=L261,"Yes","No"))</f>
        <v>No</v>
      </c>
    </row>
    <row r="262" customFormat="false" ht="15" hidden="false" customHeight="false" outlineLevel="0" collapsed="false">
      <c r="A262" s="2" t="s">
        <v>296</v>
      </c>
      <c r="B262" s="7" t="n">
        <v>46063.7034722222</v>
      </c>
      <c r="C262" s="7" t="n">
        <v>46063.9298611111</v>
      </c>
      <c r="D262" s="2" t="s">
        <v>22</v>
      </c>
      <c r="E262" s="2" t="s">
        <v>40</v>
      </c>
      <c r="F262" s="2" t="s">
        <v>28</v>
      </c>
      <c r="G262" s="2" t="s">
        <v>25</v>
      </c>
      <c r="H262" s="2" t="n">
        <v>5</v>
      </c>
      <c r="I262" s="2" t="str">
        <f aca="false">IF(C262="","Open","Resolved")</f>
        <v>Resolved</v>
      </c>
      <c r="J262" s="2" t="str">
        <f aca="false">TEXT(B262,"yyyy-mm")</f>
        <v>2026-02</v>
      </c>
      <c r="K262" s="8" t="n">
        <f aca="false">IF(C262="","",ROUND((C262-B262)*24,2))</f>
        <v>5.43</v>
      </c>
      <c r="L262" s="2" t="n">
        <f aca="false">INDEX('SLA Policy'!$B$2:$B$5,MATCH(E262,'SLA Policy'!$A$2:$A$5,0))</f>
        <v>4</v>
      </c>
      <c r="M262" s="2" t="str">
        <f aca="false">IF(K262="","Open",IF(K262&lt;=L262,"Yes","No"))</f>
        <v>No</v>
      </c>
    </row>
    <row r="263" customFormat="false" ht="15" hidden="false" customHeight="false" outlineLevel="0" collapsed="false">
      <c r="A263" s="2" t="s">
        <v>297</v>
      </c>
      <c r="B263" s="7" t="n">
        <v>46063.7131944444</v>
      </c>
      <c r="C263" s="7" t="n">
        <v>46063.8777777778</v>
      </c>
      <c r="D263" s="2" t="s">
        <v>42</v>
      </c>
      <c r="E263" s="2" t="s">
        <v>23</v>
      </c>
      <c r="F263" s="2" t="s">
        <v>38</v>
      </c>
      <c r="G263" s="2" t="s">
        <v>29</v>
      </c>
      <c r="H263" s="2" t="n">
        <v>5</v>
      </c>
      <c r="I263" s="2" t="str">
        <f aca="false">IF(C263="","Open","Resolved")</f>
        <v>Resolved</v>
      </c>
      <c r="J263" s="2" t="str">
        <f aca="false">TEXT(B263,"yyyy-mm")</f>
        <v>2026-02</v>
      </c>
      <c r="K263" s="8" t="n">
        <f aca="false">IF(C263="","",ROUND((C263-B263)*24,2))</f>
        <v>3.95</v>
      </c>
      <c r="L263" s="2" t="n">
        <f aca="false">INDEX('SLA Policy'!$B$2:$B$5,MATCH(E263,'SLA Policy'!$A$2:$A$5,0))</f>
        <v>8</v>
      </c>
      <c r="M263" s="2" t="str">
        <f aca="false">IF(K263="","Open",IF(K263&lt;=L263,"Yes","No"))</f>
        <v>Yes</v>
      </c>
    </row>
    <row r="264" customFormat="false" ht="15" hidden="false" customHeight="false" outlineLevel="0" collapsed="false">
      <c r="A264" s="2" t="s">
        <v>298</v>
      </c>
      <c r="B264" s="7" t="n">
        <v>46063.7243055556</v>
      </c>
      <c r="C264" s="7" t="n">
        <v>46066.9465277778</v>
      </c>
      <c r="D264" s="2" t="s">
        <v>48</v>
      </c>
      <c r="E264" s="2" t="s">
        <v>32</v>
      </c>
      <c r="F264" s="2" t="s">
        <v>27</v>
      </c>
      <c r="G264" s="2" t="s">
        <v>25</v>
      </c>
      <c r="H264" s="2" t="n">
        <v>1</v>
      </c>
      <c r="I264" s="2" t="str">
        <f aca="false">IF(C264="","Open","Resolved")</f>
        <v>Resolved</v>
      </c>
      <c r="J264" s="2" t="str">
        <f aca="false">TEXT(B264,"yyyy-mm")</f>
        <v>2026-02</v>
      </c>
      <c r="K264" s="8" t="n">
        <f aca="false">IF(C264="","",ROUND((C264-B264)*24,2))</f>
        <v>77.33</v>
      </c>
      <c r="L264" s="2" t="n">
        <f aca="false">INDEX('SLA Policy'!$B$2:$B$5,MATCH(E264,'SLA Policy'!$A$2:$A$5,0))</f>
        <v>72</v>
      </c>
      <c r="M264" s="2" t="str">
        <f aca="false">IF(K264="","Open",IF(K264&lt;=L264,"Yes","No"))</f>
        <v>No</v>
      </c>
    </row>
    <row r="265" customFormat="false" ht="15" hidden="false" customHeight="false" outlineLevel="0" collapsed="false">
      <c r="A265" s="2" t="s">
        <v>299</v>
      </c>
      <c r="B265" s="7" t="n">
        <v>46063.7493055556</v>
      </c>
      <c r="C265" s="7" t="n">
        <v>46064.4291666667</v>
      </c>
      <c r="D265" s="2" t="s">
        <v>31</v>
      </c>
      <c r="E265" s="2" t="s">
        <v>35</v>
      </c>
      <c r="F265" s="2" t="s">
        <v>38</v>
      </c>
      <c r="G265" s="2" t="s">
        <v>33</v>
      </c>
      <c r="H265" s="2" t="n">
        <v>4</v>
      </c>
      <c r="I265" s="2" t="str">
        <f aca="false">IF(C265="","Open","Resolved")</f>
        <v>Resolved</v>
      </c>
      <c r="J265" s="2" t="str">
        <f aca="false">TEXT(B265,"yyyy-mm")</f>
        <v>2026-02</v>
      </c>
      <c r="K265" s="8" t="n">
        <f aca="false">IF(C265="","",ROUND((C265-B265)*24,2))</f>
        <v>16.32</v>
      </c>
      <c r="L265" s="2" t="n">
        <f aca="false">INDEX('SLA Policy'!$B$2:$B$5,MATCH(E265,'SLA Policy'!$A$2:$A$5,0))</f>
        <v>24</v>
      </c>
      <c r="M265" s="2" t="str">
        <f aca="false">IF(K265="","Open",IF(K265&lt;=L265,"Yes","No"))</f>
        <v>Yes</v>
      </c>
    </row>
    <row r="266" customFormat="false" ht="15" hidden="false" customHeight="false" outlineLevel="0" collapsed="false">
      <c r="A266" s="2" t="s">
        <v>300</v>
      </c>
      <c r="B266" s="7" t="n">
        <v>46063.7805555556</v>
      </c>
      <c r="C266" s="7" t="n">
        <v>46066.1041666667</v>
      </c>
      <c r="D266" s="2" t="s">
        <v>22</v>
      </c>
      <c r="E266" s="2" t="s">
        <v>32</v>
      </c>
      <c r="F266" s="2" t="s">
        <v>24</v>
      </c>
      <c r="G266" s="2" t="s">
        <v>25</v>
      </c>
      <c r="H266" s="2" t="n">
        <v>4</v>
      </c>
      <c r="I266" s="2" t="str">
        <f aca="false">IF(C266="","Open","Resolved")</f>
        <v>Resolved</v>
      </c>
      <c r="J266" s="2" t="str">
        <f aca="false">TEXT(B266,"yyyy-mm")</f>
        <v>2026-02</v>
      </c>
      <c r="K266" s="8" t="n">
        <f aca="false">IF(C266="","",ROUND((C266-B266)*24,2))</f>
        <v>55.77</v>
      </c>
      <c r="L266" s="2" t="n">
        <f aca="false">INDEX('SLA Policy'!$B$2:$B$5,MATCH(E266,'SLA Policy'!$A$2:$A$5,0))</f>
        <v>72</v>
      </c>
      <c r="M266" s="2" t="str">
        <f aca="false">IF(K266="","Open",IF(K266&lt;=L266,"Yes","No"))</f>
        <v>Yes</v>
      </c>
    </row>
    <row r="267" customFormat="false" ht="15" hidden="false" customHeight="false" outlineLevel="0" collapsed="false">
      <c r="A267" s="2" t="s">
        <v>301</v>
      </c>
      <c r="B267" s="7" t="n">
        <v>46064.2944444444</v>
      </c>
      <c r="C267" s="7" t="n">
        <v>46065.9951388889</v>
      </c>
      <c r="D267" s="2" t="s">
        <v>22</v>
      </c>
      <c r="E267" s="2" t="s">
        <v>35</v>
      </c>
      <c r="F267" s="2" t="s">
        <v>27</v>
      </c>
      <c r="G267" s="2" t="s">
        <v>25</v>
      </c>
      <c r="H267" s="2" t="n">
        <v>4</v>
      </c>
      <c r="I267" s="2" t="str">
        <f aca="false">IF(C267="","Open","Resolved")</f>
        <v>Resolved</v>
      </c>
      <c r="J267" s="2" t="str">
        <f aca="false">TEXT(B267,"yyyy-mm")</f>
        <v>2026-02</v>
      </c>
      <c r="K267" s="8" t="n">
        <f aca="false">IF(C267="","",ROUND((C267-B267)*24,2))</f>
        <v>40.82</v>
      </c>
      <c r="L267" s="2" t="n">
        <f aca="false">INDEX('SLA Policy'!$B$2:$B$5,MATCH(E267,'SLA Policy'!$A$2:$A$5,0))</f>
        <v>24</v>
      </c>
      <c r="M267" s="2" t="str">
        <f aca="false">IF(K267="","Open",IF(K267&lt;=L267,"Yes","No"))</f>
        <v>No</v>
      </c>
    </row>
    <row r="268" customFormat="false" ht="15" hidden="false" customHeight="false" outlineLevel="0" collapsed="false">
      <c r="A268" s="2" t="s">
        <v>302</v>
      </c>
      <c r="B268" s="7" t="n">
        <v>46064.3416666667</v>
      </c>
      <c r="C268" s="7" t="n">
        <v>46072.2458333333</v>
      </c>
      <c r="D268" s="2" t="s">
        <v>31</v>
      </c>
      <c r="E268" s="2" t="s">
        <v>32</v>
      </c>
      <c r="F268" s="2" t="s">
        <v>24</v>
      </c>
      <c r="G268" s="2" t="s">
        <v>33</v>
      </c>
      <c r="H268" s="2" t="n">
        <v>1</v>
      </c>
      <c r="I268" s="2" t="str">
        <f aca="false">IF(C268="","Open","Resolved")</f>
        <v>Resolved</v>
      </c>
      <c r="J268" s="2" t="str">
        <f aca="false">TEXT(B268,"yyyy-mm")</f>
        <v>2026-02</v>
      </c>
      <c r="K268" s="8" t="n">
        <f aca="false">IF(C268="","",ROUND((C268-B268)*24,2))</f>
        <v>189.7</v>
      </c>
      <c r="L268" s="2" t="n">
        <f aca="false">INDEX('SLA Policy'!$B$2:$B$5,MATCH(E268,'SLA Policy'!$A$2:$A$5,0))</f>
        <v>72</v>
      </c>
      <c r="M268" s="2" t="str">
        <f aca="false">IF(K268="","Open",IF(K268&lt;=L268,"Yes","No"))</f>
        <v>No</v>
      </c>
    </row>
    <row r="269" customFormat="false" ht="15" hidden="false" customHeight="false" outlineLevel="0" collapsed="false">
      <c r="A269" s="2" t="s">
        <v>303</v>
      </c>
      <c r="B269" s="7" t="n">
        <v>46064.3958333333</v>
      </c>
      <c r="C269" s="7" t="n">
        <v>46067.0548611111</v>
      </c>
      <c r="D269" s="2" t="s">
        <v>31</v>
      </c>
      <c r="E269" s="2" t="s">
        <v>32</v>
      </c>
      <c r="F269" s="2" t="s">
        <v>24</v>
      </c>
      <c r="G269" s="2" t="s">
        <v>33</v>
      </c>
      <c r="H269" s="2" t="n">
        <v>2</v>
      </c>
      <c r="I269" s="2" t="str">
        <f aca="false">IF(C269="","Open","Resolved")</f>
        <v>Resolved</v>
      </c>
      <c r="J269" s="2" t="str">
        <f aca="false">TEXT(B269,"yyyy-mm")</f>
        <v>2026-02</v>
      </c>
      <c r="K269" s="8" t="n">
        <f aca="false">IF(C269="","",ROUND((C269-B269)*24,2))</f>
        <v>63.82</v>
      </c>
      <c r="L269" s="2" t="n">
        <f aca="false">INDEX('SLA Policy'!$B$2:$B$5,MATCH(E269,'SLA Policy'!$A$2:$A$5,0))</f>
        <v>72</v>
      </c>
      <c r="M269" s="2" t="str">
        <f aca="false">IF(K269="","Open",IF(K269&lt;=L269,"Yes","No"))</f>
        <v>Yes</v>
      </c>
    </row>
    <row r="270" customFormat="false" ht="15" hidden="false" customHeight="false" outlineLevel="0" collapsed="false">
      <c r="A270" s="2" t="s">
        <v>304</v>
      </c>
      <c r="B270" s="7" t="n">
        <v>46064.4152777778</v>
      </c>
      <c r="C270" s="7" t="n">
        <v>46065.8243055556</v>
      </c>
      <c r="D270" s="2" t="s">
        <v>31</v>
      </c>
      <c r="E270" s="2" t="s">
        <v>32</v>
      </c>
      <c r="F270" s="2" t="s">
        <v>27</v>
      </c>
      <c r="G270" s="2" t="s">
        <v>33</v>
      </c>
      <c r="H270" s="2" t="n">
        <v>3</v>
      </c>
      <c r="I270" s="2" t="str">
        <f aca="false">IF(C270="","Open","Resolved")</f>
        <v>Resolved</v>
      </c>
      <c r="J270" s="2" t="str">
        <f aca="false">TEXT(B270,"yyyy-mm")</f>
        <v>2026-02</v>
      </c>
      <c r="K270" s="8" t="n">
        <f aca="false">IF(C270="","",ROUND((C270-B270)*24,2))</f>
        <v>33.82</v>
      </c>
      <c r="L270" s="2" t="n">
        <f aca="false">INDEX('SLA Policy'!$B$2:$B$5,MATCH(E270,'SLA Policy'!$A$2:$A$5,0))</f>
        <v>72</v>
      </c>
      <c r="M270" s="2" t="str">
        <f aca="false">IF(K270="","Open",IF(K270&lt;=L270,"Yes","No"))</f>
        <v>Yes</v>
      </c>
    </row>
    <row r="271" customFormat="false" ht="15" hidden="false" customHeight="false" outlineLevel="0" collapsed="false">
      <c r="A271" s="2" t="s">
        <v>305</v>
      </c>
      <c r="B271" s="7" t="n">
        <v>46064.5729166667</v>
      </c>
      <c r="C271" s="7" t="n">
        <v>46064.7145833333</v>
      </c>
      <c r="D271" s="2" t="s">
        <v>42</v>
      </c>
      <c r="E271" s="2" t="s">
        <v>35</v>
      </c>
      <c r="F271" s="2" t="s">
        <v>27</v>
      </c>
      <c r="G271" s="2" t="s">
        <v>29</v>
      </c>
      <c r="H271" s="2" t="n">
        <v>5</v>
      </c>
      <c r="I271" s="2" t="str">
        <f aca="false">IF(C271="","Open","Resolved")</f>
        <v>Resolved</v>
      </c>
      <c r="J271" s="2" t="str">
        <f aca="false">TEXT(B271,"yyyy-mm")</f>
        <v>2026-02</v>
      </c>
      <c r="K271" s="8" t="n">
        <f aca="false">IF(C271="","",ROUND((C271-B271)*24,2))</f>
        <v>3.4</v>
      </c>
      <c r="L271" s="2" t="n">
        <f aca="false">INDEX('SLA Policy'!$B$2:$B$5,MATCH(E271,'SLA Policy'!$A$2:$A$5,0))</f>
        <v>24</v>
      </c>
      <c r="M271" s="2" t="str">
        <f aca="false">IF(K271="","Open",IF(K271&lt;=L271,"Yes","No"))</f>
        <v>Yes</v>
      </c>
    </row>
    <row r="272" customFormat="false" ht="15" hidden="false" customHeight="false" outlineLevel="0" collapsed="false">
      <c r="A272" s="2" t="s">
        <v>306</v>
      </c>
      <c r="B272" s="7" t="n">
        <v>46065.2986111111</v>
      </c>
      <c r="C272" s="7" t="n">
        <v>46066.5208333333</v>
      </c>
      <c r="D272" s="2" t="s">
        <v>31</v>
      </c>
      <c r="E272" s="2" t="s">
        <v>35</v>
      </c>
      <c r="F272" s="2" t="s">
        <v>38</v>
      </c>
      <c r="G272" s="2" t="s">
        <v>33</v>
      </c>
      <c r="H272" s="2" t="n">
        <v>4</v>
      </c>
      <c r="I272" s="2" t="str">
        <f aca="false">IF(C272="","Open","Resolved")</f>
        <v>Resolved</v>
      </c>
      <c r="J272" s="2" t="str">
        <f aca="false">TEXT(B272,"yyyy-mm")</f>
        <v>2026-02</v>
      </c>
      <c r="K272" s="8" t="n">
        <f aca="false">IF(C272="","",ROUND((C272-B272)*24,2))</f>
        <v>29.33</v>
      </c>
      <c r="L272" s="2" t="n">
        <f aca="false">INDEX('SLA Policy'!$B$2:$B$5,MATCH(E272,'SLA Policy'!$A$2:$A$5,0))</f>
        <v>24</v>
      </c>
      <c r="M272" s="2" t="str">
        <f aca="false">IF(K272="","Open",IF(K272&lt;=L272,"Yes","No"))</f>
        <v>No</v>
      </c>
    </row>
    <row r="273" customFormat="false" ht="15" hidden="false" customHeight="false" outlineLevel="0" collapsed="false">
      <c r="A273" s="2" t="s">
        <v>307</v>
      </c>
      <c r="B273" s="7" t="n">
        <v>46065.4</v>
      </c>
      <c r="C273" s="7" t="n">
        <v>46067.1201388889</v>
      </c>
      <c r="D273" s="2" t="s">
        <v>22</v>
      </c>
      <c r="E273" s="2" t="s">
        <v>35</v>
      </c>
      <c r="F273" s="2" t="s">
        <v>27</v>
      </c>
      <c r="G273" s="2" t="s">
        <v>25</v>
      </c>
      <c r="H273" s="2" t="n">
        <v>2</v>
      </c>
      <c r="I273" s="2" t="str">
        <f aca="false">IF(C273="","Open","Resolved")</f>
        <v>Resolved</v>
      </c>
      <c r="J273" s="2" t="str">
        <f aca="false">TEXT(B273,"yyyy-mm")</f>
        <v>2026-02</v>
      </c>
      <c r="K273" s="8" t="n">
        <f aca="false">IF(C273="","",ROUND((C273-B273)*24,2))</f>
        <v>41.28</v>
      </c>
      <c r="L273" s="2" t="n">
        <f aca="false">INDEX('SLA Policy'!$B$2:$B$5,MATCH(E273,'SLA Policy'!$A$2:$A$5,0))</f>
        <v>24</v>
      </c>
      <c r="M273" s="2" t="str">
        <f aca="false">IF(K273="","Open",IF(K273&lt;=L273,"Yes","No"))</f>
        <v>No</v>
      </c>
    </row>
    <row r="274" customFormat="false" ht="15" hidden="false" customHeight="false" outlineLevel="0" collapsed="false">
      <c r="A274" s="2" t="s">
        <v>308</v>
      </c>
      <c r="B274" s="7" t="n">
        <v>46065.4048611111</v>
      </c>
      <c r="C274" s="7" t="n">
        <v>46066.0993055556</v>
      </c>
      <c r="D274" s="2" t="s">
        <v>22</v>
      </c>
      <c r="E274" s="2" t="s">
        <v>23</v>
      </c>
      <c r="F274" s="2" t="s">
        <v>38</v>
      </c>
      <c r="G274" s="2" t="s">
        <v>25</v>
      </c>
      <c r="H274" s="2" t="n">
        <v>5</v>
      </c>
      <c r="I274" s="2" t="str">
        <f aca="false">IF(C274="","Open","Resolved")</f>
        <v>Resolved</v>
      </c>
      <c r="J274" s="2" t="str">
        <f aca="false">TEXT(B274,"yyyy-mm")</f>
        <v>2026-02</v>
      </c>
      <c r="K274" s="8" t="n">
        <f aca="false">IF(C274="","",ROUND((C274-B274)*24,2))</f>
        <v>16.67</v>
      </c>
      <c r="L274" s="2" t="n">
        <f aca="false">INDEX('SLA Policy'!$B$2:$B$5,MATCH(E274,'SLA Policy'!$A$2:$A$5,0))</f>
        <v>8</v>
      </c>
      <c r="M274" s="2" t="str">
        <f aca="false">IF(K274="","Open",IF(K274&lt;=L274,"Yes","No"))</f>
        <v>No</v>
      </c>
    </row>
    <row r="275" customFormat="false" ht="15" hidden="false" customHeight="false" outlineLevel="0" collapsed="false">
      <c r="A275" s="2" t="s">
        <v>309</v>
      </c>
      <c r="B275" s="7" t="n">
        <v>46065.7138888889</v>
      </c>
      <c r="C275" s="7" t="n">
        <v>46066.3243055556</v>
      </c>
      <c r="D275" s="2" t="s">
        <v>31</v>
      </c>
      <c r="E275" s="2" t="s">
        <v>35</v>
      </c>
      <c r="F275" s="2" t="s">
        <v>28</v>
      </c>
      <c r="G275" s="2" t="s">
        <v>33</v>
      </c>
      <c r="H275" s="2" t="n">
        <v>4</v>
      </c>
      <c r="I275" s="2" t="str">
        <f aca="false">IF(C275="","Open","Resolved")</f>
        <v>Resolved</v>
      </c>
      <c r="J275" s="2" t="str">
        <f aca="false">TEXT(B275,"yyyy-mm")</f>
        <v>2026-02</v>
      </c>
      <c r="K275" s="8" t="n">
        <f aca="false">IF(C275="","",ROUND((C275-B275)*24,2))</f>
        <v>14.65</v>
      </c>
      <c r="L275" s="2" t="n">
        <f aca="false">INDEX('SLA Policy'!$B$2:$B$5,MATCH(E275,'SLA Policy'!$A$2:$A$5,0))</f>
        <v>24</v>
      </c>
      <c r="M275" s="2" t="str">
        <f aca="false">IF(K275="","Open",IF(K275&lt;=L275,"Yes","No"))</f>
        <v>Yes</v>
      </c>
    </row>
    <row r="276" customFormat="false" ht="15" hidden="false" customHeight="false" outlineLevel="0" collapsed="false">
      <c r="A276" s="2" t="s">
        <v>310</v>
      </c>
      <c r="B276" s="7" t="n">
        <v>46066.3361111111</v>
      </c>
      <c r="C276" s="7" t="n">
        <v>46066.5784722222</v>
      </c>
      <c r="D276" s="2" t="s">
        <v>42</v>
      </c>
      <c r="E276" s="2" t="s">
        <v>23</v>
      </c>
      <c r="F276" s="2" t="s">
        <v>38</v>
      </c>
      <c r="G276" s="2" t="s">
        <v>29</v>
      </c>
      <c r="H276" s="2" t="n">
        <v>4</v>
      </c>
      <c r="I276" s="2" t="str">
        <f aca="false">IF(C276="","Open","Resolved")</f>
        <v>Resolved</v>
      </c>
      <c r="J276" s="2" t="str">
        <f aca="false">TEXT(B276,"yyyy-mm")</f>
        <v>2026-02</v>
      </c>
      <c r="K276" s="8" t="n">
        <f aca="false">IF(C276="","",ROUND((C276-B276)*24,2))</f>
        <v>5.82</v>
      </c>
      <c r="L276" s="2" t="n">
        <f aca="false">INDEX('SLA Policy'!$B$2:$B$5,MATCH(E276,'SLA Policy'!$A$2:$A$5,0))</f>
        <v>8</v>
      </c>
      <c r="M276" s="2" t="str">
        <f aca="false">IF(K276="","Open",IF(K276&lt;=L276,"Yes","No"))</f>
        <v>Yes</v>
      </c>
    </row>
    <row r="277" customFormat="false" ht="15" hidden="false" customHeight="false" outlineLevel="0" collapsed="false">
      <c r="A277" s="2" t="s">
        <v>311</v>
      </c>
      <c r="B277" s="7" t="n">
        <v>46066.3868055556</v>
      </c>
      <c r="C277" s="7" t="n">
        <v>46067.8555555556</v>
      </c>
      <c r="D277" s="2" t="s">
        <v>22</v>
      </c>
      <c r="E277" s="2" t="s">
        <v>35</v>
      </c>
      <c r="F277" s="2" t="s">
        <v>38</v>
      </c>
      <c r="G277" s="2" t="s">
        <v>25</v>
      </c>
      <c r="H277" s="2" t="n">
        <v>5</v>
      </c>
      <c r="I277" s="2" t="str">
        <f aca="false">IF(C277="","Open","Resolved")</f>
        <v>Resolved</v>
      </c>
      <c r="J277" s="2" t="str">
        <f aca="false">TEXT(B277,"yyyy-mm")</f>
        <v>2026-02</v>
      </c>
      <c r="K277" s="8" t="n">
        <f aca="false">IF(C277="","",ROUND((C277-B277)*24,2))</f>
        <v>35.25</v>
      </c>
      <c r="L277" s="2" t="n">
        <f aca="false">INDEX('SLA Policy'!$B$2:$B$5,MATCH(E277,'SLA Policy'!$A$2:$A$5,0))</f>
        <v>24</v>
      </c>
      <c r="M277" s="2" t="str">
        <f aca="false">IF(K277="","Open",IF(K277&lt;=L277,"Yes","No"))</f>
        <v>No</v>
      </c>
    </row>
    <row r="278" customFormat="false" ht="15" hidden="false" customHeight="false" outlineLevel="0" collapsed="false">
      <c r="A278" s="2" t="s">
        <v>312</v>
      </c>
      <c r="B278" s="7" t="n">
        <v>46066.4791666667</v>
      </c>
      <c r="C278" s="7" t="n">
        <v>46067.0291666667</v>
      </c>
      <c r="D278" s="2" t="s">
        <v>42</v>
      </c>
      <c r="E278" s="2" t="s">
        <v>35</v>
      </c>
      <c r="F278" s="2" t="s">
        <v>27</v>
      </c>
      <c r="G278" s="2" t="s">
        <v>29</v>
      </c>
      <c r="H278" s="2" t="n">
        <v>5</v>
      </c>
      <c r="I278" s="2" t="str">
        <f aca="false">IF(C278="","Open","Resolved")</f>
        <v>Resolved</v>
      </c>
      <c r="J278" s="2" t="str">
        <f aca="false">TEXT(B278,"yyyy-mm")</f>
        <v>2026-02</v>
      </c>
      <c r="K278" s="8" t="n">
        <f aca="false">IF(C278="","",ROUND((C278-B278)*24,2))</f>
        <v>13.2</v>
      </c>
      <c r="L278" s="2" t="n">
        <f aca="false">INDEX('SLA Policy'!$B$2:$B$5,MATCH(E278,'SLA Policy'!$A$2:$A$5,0))</f>
        <v>24</v>
      </c>
      <c r="M278" s="2" t="str">
        <f aca="false">IF(K278="","Open",IF(K278&lt;=L278,"Yes","No"))</f>
        <v>Yes</v>
      </c>
    </row>
    <row r="279" customFormat="false" ht="15" hidden="false" customHeight="false" outlineLevel="0" collapsed="false">
      <c r="A279" s="2" t="s">
        <v>313</v>
      </c>
      <c r="B279" s="7" t="n">
        <v>46066.7125</v>
      </c>
      <c r="C279" s="7" t="n">
        <v>46066.775</v>
      </c>
      <c r="D279" s="2" t="s">
        <v>42</v>
      </c>
      <c r="E279" s="2" t="s">
        <v>23</v>
      </c>
      <c r="F279" s="2" t="s">
        <v>28</v>
      </c>
      <c r="G279" s="2" t="s">
        <v>29</v>
      </c>
      <c r="H279" s="2" t="n">
        <v>5</v>
      </c>
      <c r="I279" s="2" t="str">
        <f aca="false">IF(C279="","Open","Resolved")</f>
        <v>Resolved</v>
      </c>
      <c r="J279" s="2" t="str">
        <f aca="false">TEXT(B279,"yyyy-mm")</f>
        <v>2026-02</v>
      </c>
      <c r="K279" s="8" t="n">
        <f aca="false">IF(C279="","",ROUND((C279-B279)*24,2))</f>
        <v>1.5</v>
      </c>
      <c r="L279" s="2" t="n">
        <f aca="false">INDEX('SLA Policy'!$B$2:$B$5,MATCH(E279,'SLA Policy'!$A$2:$A$5,0))</f>
        <v>8</v>
      </c>
      <c r="M279" s="2" t="str">
        <f aca="false">IF(K279="","Open",IF(K279&lt;=L279,"Yes","No"))</f>
        <v>Yes</v>
      </c>
    </row>
    <row r="280" customFormat="false" ht="15" hidden="false" customHeight="false" outlineLevel="0" collapsed="false">
      <c r="A280" s="2" t="s">
        <v>314</v>
      </c>
      <c r="B280" s="7" t="n">
        <v>46068.3298611111</v>
      </c>
      <c r="C280" s="7" t="n">
        <v>46069.3527777778</v>
      </c>
      <c r="D280" s="2" t="s">
        <v>27</v>
      </c>
      <c r="E280" s="2" t="s">
        <v>35</v>
      </c>
      <c r="F280" s="2" t="s">
        <v>24</v>
      </c>
      <c r="G280" s="2" t="s">
        <v>29</v>
      </c>
      <c r="H280" s="2" t="n">
        <v>4</v>
      </c>
      <c r="I280" s="2" t="str">
        <f aca="false">IF(C280="","Open","Resolved")</f>
        <v>Resolved</v>
      </c>
      <c r="J280" s="2" t="str">
        <f aca="false">TEXT(B280,"yyyy-mm")</f>
        <v>2026-02</v>
      </c>
      <c r="K280" s="8" t="n">
        <f aca="false">IF(C280="","",ROUND((C280-B280)*24,2))</f>
        <v>24.55</v>
      </c>
      <c r="L280" s="2" t="n">
        <f aca="false">INDEX('SLA Policy'!$B$2:$B$5,MATCH(E280,'SLA Policy'!$A$2:$A$5,0))</f>
        <v>24</v>
      </c>
      <c r="M280" s="2" t="str">
        <f aca="false">IF(K280="","Open",IF(K280&lt;=L280,"Yes","No"))</f>
        <v>No</v>
      </c>
    </row>
    <row r="281" customFormat="false" ht="15" hidden="false" customHeight="false" outlineLevel="0" collapsed="false">
      <c r="A281" s="2" t="s">
        <v>315</v>
      </c>
      <c r="B281" s="7" t="n">
        <v>46068.7111111111</v>
      </c>
      <c r="C281" s="7" t="n">
        <v>46068.9305555556</v>
      </c>
      <c r="D281" s="2" t="s">
        <v>31</v>
      </c>
      <c r="E281" s="2" t="s">
        <v>23</v>
      </c>
      <c r="F281" s="2" t="s">
        <v>27</v>
      </c>
      <c r="G281" s="2" t="s">
        <v>33</v>
      </c>
      <c r="H281" s="2" t="n">
        <v>5</v>
      </c>
      <c r="I281" s="2" t="str">
        <f aca="false">IF(C281="","Open","Resolved")</f>
        <v>Resolved</v>
      </c>
      <c r="J281" s="2" t="str">
        <f aca="false">TEXT(B281,"yyyy-mm")</f>
        <v>2026-02</v>
      </c>
      <c r="K281" s="8" t="n">
        <f aca="false">IF(C281="","",ROUND((C281-B281)*24,2))</f>
        <v>5.27</v>
      </c>
      <c r="L281" s="2" t="n">
        <f aca="false">INDEX('SLA Policy'!$B$2:$B$5,MATCH(E281,'SLA Policy'!$A$2:$A$5,0))</f>
        <v>8</v>
      </c>
      <c r="M281" s="2" t="str">
        <f aca="false">IF(K281="","Open",IF(K281&lt;=L281,"Yes","No"))</f>
        <v>Yes</v>
      </c>
    </row>
    <row r="282" customFormat="false" ht="15" hidden="false" customHeight="false" outlineLevel="0" collapsed="false">
      <c r="A282" s="2" t="s">
        <v>316</v>
      </c>
      <c r="B282" s="7" t="n">
        <v>46069.3979166667</v>
      </c>
      <c r="C282" s="7" t="n">
        <v>46071.2458333333</v>
      </c>
      <c r="D282" s="2" t="s">
        <v>48</v>
      </c>
      <c r="E282" s="2" t="s">
        <v>35</v>
      </c>
      <c r="F282" s="2" t="s">
        <v>27</v>
      </c>
      <c r="G282" s="2" t="s">
        <v>25</v>
      </c>
      <c r="H282" s="2" t="n">
        <v>2</v>
      </c>
      <c r="I282" s="2" t="str">
        <f aca="false">IF(C282="","Open","Resolved")</f>
        <v>Resolved</v>
      </c>
      <c r="J282" s="2" t="str">
        <f aca="false">TEXT(B282,"yyyy-mm")</f>
        <v>2026-02</v>
      </c>
      <c r="K282" s="8" t="n">
        <f aca="false">IF(C282="","",ROUND((C282-B282)*24,2))</f>
        <v>44.35</v>
      </c>
      <c r="L282" s="2" t="n">
        <f aca="false">INDEX('SLA Policy'!$B$2:$B$5,MATCH(E282,'SLA Policy'!$A$2:$A$5,0))</f>
        <v>24</v>
      </c>
      <c r="M282" s="2" t="str">
        <f aca="false">IF(K282="","Open",IF(K282&lt;=L282,"Yes","No"))</f>
        <v>No</v>
      </c>
    </row>
    <row r="283" customFormat="false" ht="15" hidden="false" customHeight="false" outlineLevel="0" collapsed="false">
      <c r="A283" s="2" t="s">
        <v>317</v>
      </c>
      <c r="B283" s="7" t="n">
        <v>46069.4777777778</v>
      </c>
      <c r="C283" s="7" t="n">
        <v>46072.0694444445</v>
      </c>
      <c r="D283" s="2" t="s">
        <v>31</v>
      </c>
      <c r="E283" s="2" t="s">
        <v>32</v>
      </c>
      <c r="F283" s="2" t="s">
        <v>28</v>
      </c>
      <c r="G283" s="2" t="s">
        <v>33</v>
      </c>
      <c r="H283" s="2" t="n">
        <v>3</v>
      </c>
      <c r="I283" s="2" t="str">
        <f aca="false">IF(C283="","Open","Resolved")</f>
        <v>Resolved</v>
      </c>
      <c r="J283" s="2" t="str">
        <f aca="false">TEXT(B283,"yyyy-mm")</f>
        <v>2026-02</v>
      </c>
      <c r="K283" s="8" t="n">
        <f aca="false">IF(C283="","",ROUND((C283-B283)*24,2))</f>
        <v>62.2</v>
      </c>
      <c r="L283" s="2" t="n">
        <f aca="false">INDEX('SLA Policy'!$B$2:$B$5,MATCH(E283,'SLA Policy'!$A$2:$A$5,0))</f>
        <v>72</v>
      </c>
      <c r="M283" s="2" t="str">
        <f aca="false">IF(K283="","Open",IF(K283&lt;=L283,"Yes","No"))</f>
        <v>Yes</v>
      </c>
    </row>
    <row r="284" customFormat="false" ht="15" hidden="false" customHeight="false" outlineLevel="0" collapsed="false">
      <c r="A284" s="2" t="s">
        <v>318</v>
      </c>
      <c r="B284" s="7" t="n">
        <v>46069.5180555556</v>
      </c>
      <c r="C284" s="7" t="n">
        <v>46069.9125</v>
      </c>
      <c r="D284" s="2" t="s">
        <v>22</v>
      </c>
      <c r="E284" s="2" t="s">
        <v>40</v>
      </c>
      <c r="F284" s="2" t="s">
        <v>27</v>
      </c>
      <c r="G284" s="2" t="s">
        <v>25</v>
      </c>
      <c r="H284" s="2" t="n">
        <v>4</v>
      </c>
      <c r="I284" s="2" t="str">
        <f aca="false">IF(C284="","Open","Resolved")</f>
        <v>Resolved</v>
      </c>
      <c r="J284" s="2" t="str">
        <f aca="false">TEXT(B284,"yyyy-mm")</f>
        <v>2026-02</v>
      </c>
      <c r="K284" s="8" t="n">
        <f aca="false">IF(C284="","",ROUND((C284-B284)*24,2))</f>
        <v>9.47</v>
      </c>
      <c r="L284" s="2" t="n">
        <f aca="false">INDEX('SLA Policy'!$B$2:$B$5,MATCH(E284,'SLA Policy'!$A$2:$A$5,0))</f>
        <v>4</v>
      </c>
      <c r="M284" s="2" t="str">
        <f aca="false">IF(K284="","Open",IF(K284&lt;=L284,"Yes","No"))</f>
        <v>No</v>
      </c>
    </row>
    <row r="285" customFormat="false" ht="15" hidden="false" customHeight="false" outlineLevel="0" collapsed="false">
      <c r="A285" s="2" t="s">
        <v>319</v>
      </c>
      <c r="B285" s="7" t="n">
        <v>46069.6486111111</v>
      </c>
      <c r="C285" s="7" t="n">
        <v>46070.2229166667</v>
      </c>
      <c r="D285" s="2" t="s">
        <v>42</v>
      </c>
      <c r="E285" s="2" t="s">
        <v>35</v>
      </c>
      <c r="F285" s="2" t="s">
        <v>27</v>
      </c>
      <c r="G285" s="2" t="s">
        <v>29</v>
      </c>
      <c r="H285" s="2" t="n">
        <v>5</v>
      </c>
      <c r="I285" s="2" t="str">
        <f aca="false">IF(C285="","Open","Resolved")</f>
        <v>Resolved</v>
      </c>
      <c r="J285" s="2" t="str">
        <f aca="false">TEXT(B285,"yyyy-mm")</f>
        <v>2026-02</v>
      </c>
      <c r="K285" s="8" t="n">
        <f aca="false">IF(C285="","",ROUND((C285-B285)*24,2))</f>
        <v>13.78</v>
      </c>
      <c r="L285" s="2" t="n">
        <f aca="false">INDEX('SLA Policy'!$B$2:$B$5,MATCH(E285,'SLA Policy'!$A$2:$A$5,0))</f>
        <v>24</v>
      </c>
      <c r="M285" s="2" t="str">
        <f aca="false">IF(K285="","Open",IF(K285&lt;=L285,"Yes","No"))</f>
        <v>Yes</v>
      </c>
    </row>
    <row r="286" customFormat="false" ht="15" hidden="false" customHeight="false" outlineLevel="0" collapsed="false">
      <c r="A286" s="2" t="s">
        <v>320</v>
      </c>
      <c r="B286" s="7" t="n">
        <v>46069.7013888889</v>
      </c>
      <c r="C286" s="7" t="n">
        <v>46070.4736111111</v>
      </c>
      <c r="D286" s="2" t="s">
        <v>22</v>
      </c>
      <c r="E286" s="2" t="s">
        <v>35</v>
      </c>
      <c r="F286" s="2" t="s">
        <v>24</v>
      </c>
      <c r="G286" s="2" t="s">
        <v>25</v>
      </c>
      <c r="H286" s="2" t="n">
        <v>5</v>
      </c>
      <c r="I286" s="2" t="str">
        <f aca="false">IF(C286="","Open","Resolved")</f>
        <v>Resolved</v>
      </c>
      <c r="J286" s="2" t="str">
        <f aca="false">TEXT(B286,"yyyy-mm")</f>
        <v>2026-02</v>
      </c>
      <c r="K286" s="8" t="n">
        <f aca="false">IF(C286="","",ROUND((C286-B286)*24,2))</f>
        <v>18.53</v>
      </c>
      <c r="L286" s="2" t="n">
        <f aca="false">INDEX('SLA Policy'!$B$2:$B$5,MATCH(E286,'SLA Policy'!$A$2:$A$5,0))</f>
        <v>24</v>
      </c>
      <c r="M286" s="2" t="str">
        <f aca="false">IF(K286="","Open",IF(K286&lt;=L286,"Yes","No"))</f>
        <v>Yes</v>
      </c>
    </row>
    <row r="287" customFormat="false" ht="15" hidden="false" customHeight="false" outlineLevel="0" collapsed="false">
      <c r="A287" s="2" t="s">
        <v>321</v>
      </c>
      <c r="B287" s="7" t="n">
        <v>46069.7423611111</v>
      </c>
      <c r="C287" s="7" t="n">
        <v>46071.5111111111</v>
      </c>
      <c r="D287" s="2" t="s">
        <v>31</v>
      </c>
      <c r="E287" s="2" t="s">
        <v>32</v>
      </c>
      <c r="F287" s="2" t="s">
        <v>27</v>
      </c>
      <c r="G287" s="2" t="s">
        <v>33</v>
      </c>
      <c r="H287" s="2" t="n">
        <v>3</v>
      </c>
      <c r="I287" s="2" t="str">
        <f aca="false">IF(C287="","Open","Resolved")</f>
        <v>Resolved</v>
      </c>
      <c r="J287" s="2" t="str">
        <f aca="false">TEXT(B287,"yyyy-mm")</f>
        <v>2026-02</v>
      </c>
      <c r="K287" s="8" t="n">
        <f aca="false">IF(C287="","",ROUND((C287-B287)*24,2))</f>
        <v>42.45</v>
      </c>
      <c r="L287" s="2" t="n">
        <f aca="false">INDEX('SLA Policy'!$B$2:$B$5,MATCH(E287,'SLA Policy'!$A$2:$A$5,0))</f>
        <v>72</v>
      </c>
      <c r="M287" s="2" t="str">
        <f aca="false">IF(K287="","Open",IF(K287&lt;=L287,"Yes","No"))</f>
        <v>Yes</v>
      </c>
    </row>
    <row r="288" customFormat="false" ht="15" hidden="false" customHeight="false" outlineLevel="0" collapsed="false">
      <c r="A288" s="2" t="s">
        <v>322</v>
      </c>
      <c r="B288" s="7" t="n">
        <v>46069.7576388889</v>
      </c>
      <c r="C288" s="7" t="n">
        <v>46073.5979166667</v>
      </c>
      <c r="D288" s="2" t="s">
        <v>31</v>
      </c>
      <c r="E288" s="2" t="s">
        <v>32</v>
      </c>
      <c r="F288" s="2" t="s">
        <v>38</v>
      </c>
      <c r="G288" s="2" t="s">
        <v>33</v>
      </c>
      <c r="H288" s="2" t="n">
        <v>1</v>
      </c>
      <c r="I288" s="2" t="str">
        <f aca="false">IF(C288="","Open","Resolved")</f>
        <v>Resolved</v>
      </c>
      <c r="J288" s="2" t="str">
        <f aca="false">TEXT(B288,"yyyy-mm")</f>
        <v>2026-02</v>
      </c>
      <c r="K288" s="8" t="n">
        <f aca="false">IF(C288="","",ROUND((C288-B288)*24,2))</f>
        <v>92.17</v>
      </c>
      <c r="L288" s="2" t="n">
        <f aca="false">INDEX('SLA Policy'!$B$2:$B$5,MATCH(E288,'SLA Policy'!$A$2:$A$5,0))</f>
        <v>72</v>
      </c>
      <c r="M288" s="2" t="str">
        <f aca="false">IF(K288="","Open",IF(K288&lt;=L288,"Yes","No"))</f>
        <v>No</v>
      </c>
    </row>
    <row r="289" customFormat="false" ht="15" hidden="false" customHeight="false" outlineLevel="0" collapsed="false">
      <c r="A289" s="2" t="s">
        <v>323</v>
      </c>
      <c r="B289" s="7" t="n">
        <v>46069.7576388889</v>
      </c>
      <c r="C289" s="7" t="n">
        <v>46073.5805555556</v>
      </c>
      <c r="D289" s="2" t="s">
        <v>31</v>
      </c>
      <c r="E289" s="2" t="s">
        <v>32</v>
      </c>
      <c r="F289" s="2" t="s">
        <v>28</v>
      </c>
      <c r="G289" s="2" t="s">
        <v>33</v>
      </c>
      <c r="H289" s="2" t="n">
        <v>2</v>
      </c>
      <c r="I289" s="2" t="str">
        <f aca="false">IF(C289="","Open","Resolved")</f>
        <v>Resolved</v>
      </c>
      <c r="J289" s="2" t="str">
        <f aca="false">TEXT(B289,"yyyy-mm")</f>
        <v>2026-02</v>
      </c>
      <c r="K289" s="8" t="n">
        <f aca="false">IF(C289="","",ROUND((C289-B289)*24,2))</f>
        <v>91.75</v>
      </c>
      <c r="L289" s="2" t="n">
        <f aca="false">INDEX('SLA Policy'!$B$2:$B$5,MATCH(E289,'SLA Policy'!$A$2:$A$5,0))</f>
        <v>72</v>
      </c>
      <c r="M289" s="2" t="str">
        <f aca="false">IF(K289="","Open",IF(K289&lt;=L289,"Yes","No"))</f>
        <v>No</v>
      </c>
    </row>
    <row r="290" customFormat="false" ht="15" hidden="false" customHeight="false" outlineLevel="0" collapsed="false">
      <c r="A290" s="2" t="s">
        <v>324</v>
      </c>
      <c r="B290" s="7" t="n">
        <v>46070.375</v>
      </c>
      <c r="C290" s="7" t="n">
        <v>46071.0881944444</v>
      </c>
      <c r="D290" s="2" t="s">
        <v>48</v>
      </c>
      <c r="E290" s="2" t="s">
        <v>35</v>
      </c>
      <c r="F290" s="2" t="s">
        <v>27</v>
      </c>
      <c r="G290" s="2" t="s">
        <v>25</v>
      </c>
      <c r="H290" s="2" t="n">
        <v>5</v>
      </c>
      <c r="I290" s="2" t="str">
        <f aca="false">IF(C290="","Open","Resolved")</f>
        <v>Resolved</v>
      </c>
      <c r="J290" s="2" t="str">
        <f aca="false">TEXT(B290,"yyyy-mm")</f>
        <v>2026-02</v>
      </c>
      <c r="K290" s="8" t="n">
        <f aca="false">IF(C290="","",ROUND((C290-B290)*24,2))</f>
        <v>17.12</v>
      </c>
      <c r="L290" s="2" t="n">
        <f aca="false">INDEX('SLA Policy'!$B$2:$B$5,MATCH(E290,'SLA Policy'!$A$2:$A$5,0))</f>
        <v>24</v>
      </c>
      <c r="M290" s="2" t="str">
        <f aca="false">IF(K290="","Open",IF(K290&lt;=L290,"Yes","No"))</f>
        <v>Yes</v>
      </c>
    </row>
    <row r="291" customFormat="false" ht="15" hidden="false" customHeight="false" outlineLevel="0" collapsed="false">
      <c r="A291" s="2" t="s">
        <v>325</v>
      </c>
      <c r="B291" s="7" t="n">
        <v>46070.4666666667</v>
      </c>
      <c r="C291" s="7" t="n">
        <v>46070.7881944445</v>
      </c>
      <c r="D291" s="2" t="s">
        <v>31</v>
      </c>
      <c r="E291" s="2" t="s">
        <v>23</v>
      </c>
      <c r="F291" s="2" t="s">
        <v>27</v>
      </c>
      <c r="G291" s="2" t="s">
        <v>33</v>
      </c>
      <c r="H291" s="2" t="n">
        <v>4</v>
      </c>
      <c r="I291" s="2" t="str">
        <f aca="false">IF(C291="","Open","Resolved")</f>
        <v>Resolved</v>
      </c>
      <c r="J291" s="2" t="str">
        <f aca="false">TEXT(B291,"yyyy-mm")</f>
        <v>2026-02</v>
      </c>
      <c r="K291" s="8" t="n">
        <f aca="false">IF(C291="","",ROUND((C291-B291)*24,2))</f>
        <v>7.72</v>
      </c>
      <c r="L291" s="2" t="n">
        <f aca="false">INDEX('SLA Policy'!$B$2:$B$5,MATCH(E291,'SLA Policy'!$A$2:$A$5,0))</f>
        <v>8</v>
      </c>
      <c r="M291" s="2" t="str">
        <f aca="false">IF(K291="","Open",IF(K291&lt;=L291,"Yes","No"))</f>
        <v>Yes</v>
      </c>
    </row>
    <row r="292" customFormat="false" ht="15" hidden="false" customHeight="false" outlineLevel="0" collapsed="false">
      <c r="A292" s="2" t="s">
        <v>326</v>
      </c>
      <c r="B292" s="7" t="n">
        <v>46070.4722222222</v>
      </c>
      <c r="C292" s="7" t="n">
        <v>46070.6152777778</v>
      </c>
      <c r="D292" s="2" t="s">
        <v>42</v>
      </c>
      <c r="E292" s="2" t="s">
        <v>23</v>
      </c>
      <c r="F292" s="2" t="s">
        <v>38</v>
      </c>
      <c r="G292" s="2" t="s">
        <v>29</v>
      </c>
      <c r="H292" s="2" t="n">
        <v>5</v>
      </c>
      <c r="I292" s="2" t="str">
        <f aca="false">IF(C292="","Open","Resolved")</f>
        <v>Resolved</v>
      </c>
      <c r="J292" s="2" t="str">
        <f aca="false">TEXT(B292,"yyyy-mm")</f>
        <v>2026-02</v>
      </c>
      <c r="K292" s="8" t="n">
        <f aca="false">IF(C292="","",ROUND((C292-B292)*24,2))</f>
        <v>3.43</v>
      </c>
      <c r="L292" s="2" t="n">
        <f aca="false">INDEX('SLA Policy'!$B$2:$B$5,MATCH(E292,'SLA Policy'!$A$2:$A$5,0))</f>
        <v>8</v>
      </c>
      <c r="M292" s="2" t="str">
        <f aca="false">IF(K292="","Open",IF(K292&lt;=L292,"Yes","No"))</f>
        <v>Yes</v>
      </c>
    </row>
    <row r="293" customFormat="false" ht="15" hidden="false" customHeight="false" outlineLevel="0" collapsed="false">
      <c r="A293" s="2" t="s">
        <v>327</v>
      </c>
      <c r="B293" s="7" t="n">
        <v>46070.4819444444</v>
      </c>
      <c r="C293" s="7" t="n">
        <v>46071.4979166667</v>
      </c>
      <c r="D293" s="2" t="s">
        <v>22</v>
      </c>
      <c r="E293" s="2" t="s">
        <v>35</v>
      </c>
      <c r="F293" s="2" t="s">
        <v>38</v>
      </c>
      <c r="G293" s="2" t="s">
        <v>25</v>
      </c>
      <c r="H293" s="2" t="n">
        <v>4</v>
      </c>
      <c r="I293" s="2" t="str">
        <f aca="false">IF(C293="","Open","Resolved")</f>
        <v>Resolved</v>
      </c>
      <c r="J293" s="2" t="str">
        <f aca="false">TEXT(B293,"yyyy-mm")</f>
        <v>2026-02</v>
      </c>
      <c r="K293" s="8" t="n">
        <f aca="false">IF(C293="","",ROUND((C293-B293)*24,2))</f>
        <v>24.38</v>
      </c>
      <c r="L293" s="2" t="n">
        <f aca="false">INDEX('SLA Policy'!$B$2:$B$5,MATCH(E293,'SLA Policy'!$A$2:$A$5,0))</f>
        <v>24</v>
      </c>
      <c r="M293" s="2" t="str">
        <f aca="false">IF(K293="","Open",IF(K293&lt;=L293,"Yes","No"))</f>
        <v>No</v>
      </c>
    </row>
    <row r="294" customFormat="false" ht="15" hidden="false" customHeight="false" outlineLevel="0" collapsed="false">
      <c r="A294" s="2" t="s">
        <v>328</v>
      </c>
      <c r="B294" s="7" t="n">
        <v>46070.5423611111</v>
      </c>
      <c r="C294" s="7" t="n">
        <v>46072.2465277778</v>
      </c>
      <c r="D294" s="2" t="s">
        <v>31</v>
      </c>
      <c r="E294" s="2" t="s">
        <v>32</v>
      </c>
      <c r="F294" s="2" t="s">
        <v>27</v>
      </c>
      <c r="G294" s="2" t="s">
        <v>33</v>
      </c>
      <c r="H294" s="2" t="n">
        <v>4</v>
      </c>
      <c r="I294" s="2" t="str">
        <f aca="false">IF(C294="","Open","Resolved")</f>
        <v>Resolved</v>
      </c>
      <c r="J294" s="2" t="str">
        <f aca="false">TEXT(B294,"yyyy-mm")</f>
        <v>2026-02</v>
      </c>
      <c r="K294" s="8" t="n">
        <f aca="false">IF(C294="","",ROUND((C294-B294)*24,2))</f>
        <v>40.9</v>
      </c>
      <c r="L294" s="2" t="n">
        <f aca="false">INDEX('SLA Policy'!$B$2:$B$5,MATCH(E294,'SLA Policy'!$A$2:$A$5,0))</f>
        <v>72</v>
      </c>
      <c r="M294" s="2" t="str">
        <f aca="false">IF(K294="","Open",IF(K294&lt;=L294,"Yes","No"))</f>
        <v>Yes</v>
      </c>
    </row>
    <row r="295" customFormat="false" ht="15" hidden="false" customHeight="false" outlineLevel="0" collapsed="false">
      <c r="A295" s="2" t="s">
        <v>329</v>
      </c>
      <c r="B295" s="7" t="n">
        <v>46070.6451388889</v>
      </c>
      <c r="C295" s="7" t="n">
        <v>46070.7298611111</v>
      </c>
      <c r="D295" s="2" t="s">
        <v>42</v>
      </c>
      <c r="E295" s="2" t="s">
        <v>23</v>
      </c>
      <c r="F295" s="2" t="s">
        <v>28</v>
      </c>
      <c r="G295" s="2" t="s">
        <v>29</v>
      </c>
      <c r="H295" s="2" t="n">
        <v>5</v>
      </c>
      <c r="I295" s="2" t="str">
        <f aca="false">IF(C295="","Open","Resolved")</f>
        <v>Resolved</v>
      </c>
      <c r="J295" s="2" t="str">
        <f aca="false">TEXT(B295,"yyyy-mm")</f>
        <v>2026-02</v>
      </c>
      <c r="K295" s="8" t="n">
        <f aca="false">IF(C295="","",ROUND((C295-B295)*24,2))</f>
        <v>2.03</v>
      </c>
      <c r="L295" s="2" t="n">
        <f aca="false">INDEX('SLA Policy'!$B$2:$B$5,MATCH(E295,'SLA Policy'!$A$2:$A$5,0))</f>
        <v>8</v>
      </c>
      <c r="M295" s="2" t="str">
        <f aca="false">IF(K295="","Open",IF(K295&lt;=L295,"Yes","No"))</f>
        <v>Yes</v>
      </c>
    </row>
    <row r="296" customFormat="false" ht="15" hidden="false" customHeight="false" outlineLevel="0" collapsed="false">
      <c r="A296" s="2" t="s">
        <v>330</v>
      </c>
      <c r="B296" s="7" t="n">
        <v>46070.7277777778</v>
      </c>
      <c r="C296" s="7" t="n">
        <v>46072.3222222222</v>
      </c>
      <c r="D296" s="2" t="s">
        <v>31</v>
      </c>
      <c r="E296" s="2" t="s">
        <v>32</v>
      </c>
      <c r="F296" s="2" t="s">
        <v>28</v>
      </c>
      <c r="G296" s="2" t="s">
        <v>33</v>
      </c>
      <c r="H296" s="2" t="n">
        <v>3</v>
      </c>
      <c r="I296" s="2" t="str">
        <f aca="false">IF(C296="","Open","Resolved")</f>
        <v>Resolved</v>
      </c>
      <c r="J296" s="2" t="str">
        <f aca="false">TEXT(B296,"yyyy-mm")</f>
        <v>2026-02</v>
      </c>
      <c r="K296" s="8" t="n">
        <f aca="false">IF(C296="","",ROUND((C296-B296)*24,2))</f>
        <v>38.27</v>
      </c>
      <c r="L296" s="2" t="n">
        <f aca="false">INDEX('SLA Policy'!$B$2:$B$5,MATCH(E296,'SLA Policy'!$A$2:$A$5,0))</f>
        <v>72</v>
      </c>
      <c r="M296" s="2" t="str">
        <f aca="false">IF(K296="","Open",IF(K296&lt;=L296,"Yes","No"))</f>
        <v>Yes</v>
      </c>
    </row>
    <row r="297" customFormat="false" ht="15" hidden="false" customHeight="false" outlineLevel="0" collapsed="false">
      <c r="A297" s="2" t="s">
        <v>331</v>
      </c>
      <c r="B297" s="7" t="n">
        <v>46071.3333333333</v>
      </c>
      <c r="C297" s="7" t="n">
        <v>46073.3944444444</v>
      </c>
      <c r="D297" s="2" t="s">
        <v>48</v>
      </c>
      <c r="E297" s="2" t="s">
        <v>32</v>
      </c>
      <c r="F297" s="2" t="s">
        <v>38</v>
      </c>
      <c r="G297" s="2" t="s">
        <v>25</v>
      </c>
      <c r="H297" s="2" t="n">
        <v>3</v>
      </c>
      <c r="I297" s="2" t="str">
        <f aca="false">IF(C297="","Open","Resolved")</f>
        <v>Resolved</v>
      </c>
      <c r="J297" s="2" t="str">
        <f aca="false">TEXT(B297,"yyyy-mm")</f>
        <v>2026-02</v>
      </c>
      <c r="K297" s="8" t="n">
        <f aca="false">IF(C297="","",ROUND((C297-B297)*24,2))</f>
        <v>49.47</v>
      </c>
      <c r="L297" s="2" t="n">
        <f aca="false">INDEX('SLA Policy'!$B$2:$B$5,MATCH(E297,'SLA Policy'!$A$2:$A$5,0))</f>
        <v>72</v>
      </c>
      <c r="M297" s="2" t="str">
        <f aca="false">IF(K297="","Open",IF(K297&lt;=L297,"Yes","No"))</f>
        <v>Yes</v>
      </c>
    </row>
    <row r="298" customFormat="false" ht="15" hidden="false" customHeight="false" outlineLevel="0" collapsed="false">
      <c r="A298" s="2" t="s">
        <v>332</v>
      </c>
      <c r="B298" s="7" t="n">
        <v>46071.3368055556</v>
      </c>
      <c r="C298" s="7" t="n">
        <v>46074.0111111111</v>
      </c>
      <c r="D298" s="2" t="s">
        <v>22</v>
      </c>
      <c r="E298" s="2" t="s">
        <v>32</v>
      </c>
      <c r="F298" s="2" t="s">
        <v>27</v>
      </c>
      <c r="G298" s="2" t="s">
        <v>25</v>
      </c>
      <c r="H298" s="2" t="n">
        <v>3</v>
      </c>
      <c r="I298" s="2" t="str">
        <f aca="false">IF(C298="","Open","Resolved")</f>
        <v>Resolved</v>
      </c>
      <c r="J298" s="2" t="str">
        <f aca="false">TEXT(B298,"yyyy-mm")</f>
        <v>2026-02</v>
      </c>
      <c r="K298" s="8" t="n">
        <f aca="false">IF(C298="","",ROUND((C298-B298)*24,2))</f>
        <v>64.18</v>
      </c>
      <c r="L298" s="2" t="n">
        <f aca="false">INDEX('SLA Policy'!$B$2:$B$5,MATCH(E298,'SLA Policy'!$A$2:$A$5,0))</f>
        <v>72</v>
      </c>
      <c r="M298" s="2" t="str">
        <f aca="false">IF(K298="","Open",IF(K298&lt;=L298,"Yes","No"))</f>
        <v>Yes</v>
      </c>
    </row>
    <row r="299" customFormat="false" ht="15" hidden="false" customHeight="false" outlineLevel="0" collapsed="false">
      <c r="A299" s="2" t="s">
        <v>333</v>
      </c>
      <c r="B299" s="7" t="n">
        <v>46071.3388888889</v>
      </c>
      <c r="C299" s="7" t="n">
        <v>46072.3118055556</v>
      </c>
      <c r="D299" s="2" t="s">
        <v>48</v>
      </c>
      <c r="E299" s="2" t="s">
        <v>35</v>
      </c>
      <c r="F299" s="2" t="s">
        <v>27</v>
      </c>
      <c r="G299" s="2" t="s">
        <v>25</v>
      </c>
      <c r="H299" s="2" t="n">
        <v>3</v>
      </c>
      <c r="I299" s="2" t="str">
        <f aca="false">IF(C299="","Open","Resolved")</f>
        <v>Resolved</v>
      </c>
      <c r="J299" s="2" t="str">
        <f aca="false">TEXT(B299,"yyyy-mm")</f>
        <v>2026-02</v>
      </c>
      <c r="K299" s="8" t="n">
        <f aca="false">IF(C299="","",ROUND((C299-B299)*24,2))</f>
        <v>23.35</v>
      </c>
      <c r="L299" s="2" t="n">
        <f aca="false">INDEX('SLA Policy'!$B$2:$B$5,MATCH(E299,'SLA Policy'!$A$2:$A$5,0))</f>
        <v>24</v>
      </c>
      <c r="M299" s="2" t="str">
        <f aca="false">IF(K299="","Open",IF(K299&lt;=L299,"Yes","No"))</f>
        <v>Yes</v>
      </c>
    </row>
    <row r="300" customFormat="false" ht="15" hidden="false" customHeight="false" outlineLevel="0" collapsed="false">
      <c r="A300" s="2" t="s">
        <v>334</v>
      </c>
      <c r="B300" s="7" t="n">
        <v>46071.3979166667</v>
      </c>
      <c r="C300" s="7" t="n">
        <v>46071.8458333333</v>
      </c>
      <c r="D300" s="2" t="s">
        <v>31</v>
      </c>
      <c r="E300" s="2" t="s">
        <v>35</v>
      </c>
      <c r="F300" s="2" t="s">
        <v>24</v>
      </c>
      <c r="G300" s="2" t="s">
        <v>33</v>
      </c>
      <c r="H300" s="2" t="n">
        <v>4</v>
      </c>
      <c r="I300" s="2" t="str">
        <f aca="false">IF(C300="","Open","Resolved")</f>
        <v>Resolved</v>
      </c>
      <c r="J300" s="2" t="str">
        <f aca="false">TEXT(B300,"yyyy-mm")</f>
        <v>2026-02</v>
      </c>
      <c r="K300" s="8" t="n">
        <f aca="false">IF(C300="","",ROUND((C300-B300)*24,2))</f>
        <v>10.75</v>
      </c>
      <c r="L300" s="2" t="n">
        <f aca="false">INDEX('SLA Policy'!$B$2:$B$5,MATCH(E300,'SLA Policy'!$A$2:$A$5,0))</f>
        <v>24</v>
      </c>
      <c r="M300" s="2" t="str">
        <f aca="false">IF(K300="","Open",IF(K300&lt;=L300,"Yes","No"))</f>
        <v>Yes</v>
      </c>
    </row>
    <row r="301" customFormat="false" ht="15" hidden="false" customHeight="false" outlineLevel="0" collapsed="false">
      <c r="A301" s="2" t="s">
        <v>335</v>
      </c>
      <c r="B301" s="7" t="n">
        <v>46071.4034722222</v>
      </c>
      <c r="C301" s="7" t="n">
        <v>46072.5305555556</v>
      </c>
      <c r="D301" s="2" t="s">
        <v>48</v>
      </c>
      <c r="E301" s="2" t="s">
        <v>35</v>
      </c>
      <c r="F301" s="2" t="s">
        <v>27</v>
      </c>
      <c r="G301" s="2" t="s">
        <v>25</v>
      </c>
      <c r="H301" s="2" t="n">
        <v>3</v>
      </c>
      <c r="I301" s="2" t="str">
        <f aca="false">IF(C301="","Open","Resolved")</f>
        <v>Resolved</v>
      </c>
      <c r="J301" s="2" t="str">
        <f aca="false">TEXT(B301,"yyyy-mm")</f>
        <v>2026-02</v>
      </c>
      <c r="K301" s="8" t="n">
        <f aca="false">IF(C301="","",ROUND((C301-B301)*24,2))</f>
        <v>27.05</v>
      </c>
      <c r="L301" s="2" t="n">
        <f aca="false">INDEX('SLA Policy'!$B$2:$B$5,MATCH(E301,'SLA Policy'!$A$2:$A$5,0))</f>
        <v>24</v>
      </c>
      <c r="M301" s="2" t="str">
        <f aca="false">IF(K301="","Open",IF(K301&lt;=L301,"Yes","No"))</f>
        <v>No</v>
      </c>
    </row>
    <row r="302" customFormat="false" ht="15" hidden="false" customHeight="false" outlineLevel="0" collapsed="false">
      <c r="A302" s="2" t="s">
        <v>336</v>
      </c>
      <c r="B302" s="7" t="n">
        <v>46071.4652777778</v>
      </c>
      <c r="C302" s="7" t="n">
        <v>46072.2548611111</v>
      </c>
      <c r="D302" s="2" t="s">
        <v>27</v>
      </c>
      <c r="E302" s="2" t="s">
        <v>32</v>
      </c>
      <c r="F302" s="2" t="s">
        <v>27</v>
      </c>
      <c r="G302" s="2" t="s">
        <v>29</v>
      </c>
      <c r="H302" s="2" t="n">
        <v>4</v>
      </c>
      <c r="I302" s="2" t="str">
        <f aca="false">IF(C302="","Open","Resolved")</f>
        <v>Resolved</v>
      </c>
      <c r="J302" s="2" t="str">
        <f aca="false">TEXT(B302,"yyyy-mm")</f>
        <v>2026-02</v>
      </c>
      <c r="K302" s="8" t="n">
        <f aca="false">IF(C302="","",ROUND((C302-B302)*24,2))</f>
        <v>18.95</v>
      </c>
      <c r="L302" s="2" t="n">
        <f aca="false">INDEX('SLA Policy'!$B$2:$B$5,MATCH(E302,'SLA Policy'!$A$2:$A$5,0))</f>
        <v>72</v>
      </c>
      <c r="M302" s="2" t="str">
        <f aca="false">IF(K302="","Open",IF(K302&lt;=L302,"Yes","No"))</f>
        <v>Yes</v>
      </c>
    </row>
    <row r="303" customFormat="false" ht="15" hidden="false" customHeight="false" outlineLevel="0" collapsed="false">
      <c r="A303" s="2" t="s">
        <v>337</v>
      </c>
      <c r="B303" s="7" t="n">
        <v>46071.4694444445</v>
      </c>
      <c r="C303" s="7" t="n">
        <v>46071.5444444444</v>
      </c>
      <c r="D303" s="2" t="s">
        <v>27</v>
      </c>
      <c r="E303" s="2" t="s">
        <v>23</v>
      </c>
      <c r="F303" s="2" t="s">
        <v>27</v>
      </c>
      <c r="G303" s="2" t="s">
        <v>29</v>
      </c>
      <c r="H303" s="2" t="n">
        <v>5</v>
      </c>
      <c r="I303" s="2" t="str">
        <f aca="false">IF(C303="","Open","Resolved")</f>
        <v>Resolved</v>
      </c>
      <c r="J303" s="2" t="str">
        <f aca="false">TEXT(B303,"yyyy-mm")</f>
        <v>2026-02</v>
      </c>
      <c r="K303" s="8" t="n">
        <f aca="false">IF(C303="","",ROUND((C303-B303)*24,2))</f>
        <v>1.8</v>
      </c>
      <c r="L303" s="2" t="n">
        <f aca="false">INDEX('SLA Policy'!$B$2:$B$5,MATCH(E303,'SLA Policy'!$A$2:$A$5,0))</f>
        <v>8</v>
      </c>
      <c r="M303" s="2" t="str">
        <f aca="false">IF(K303="","Open",IF(K303&lt;=L303,"Yes","No"))</f>
        <v>Yes</v>
      </c>
    </row>
    <row r="304" customFormat="false" ht="15" hidden="false" customHeight="false" outlineLevel="0" collapsed="false">
      <c r="A304" s="2" t="s">
        <v>338</v>
      </c>
      <c r="B304" s="7" t="n">
        <v>46071.5159722222</v>
      </c>
      <c r="C304" s="7" t="n">
        <v>46071.9472222222</v>
      </c>
      <c r="D304" s="2" t="s">
        <v>27</v>
      </c>
      <c r="E304" s="2" t="s">
        <v>23</v>
      </c>
      <c r="F304" s="2" t="s">
        <v>38</v>
      </c>
      <c r="G304" s="2" t="s">
        <v>29</v>
      </c>
      <c r="H304" s="2" t="n">
        <v>4</v>
      </c>
      <c r="I304" s="2" t="str">
        <f aca="false">IF(C304="","Open","Resolved")</f>
        <v>Resolved</v>
      </c>
      <c r="J304" s="2" t="str">
        <f aca="false">TEXT(B304,"yyyy-mm")</f>
        <v>2026-02</v>
      </c>
      <c r="K304" s="8" t="n">
        <f aca="false">IF(C304="","",ROUND((C304-B304)*24,2))</f>
        <v>10.35</v>
      </c>
      <c r="L304" s="2" t="n">
        <f aca="false">INDEX('SLA Policy'!$B$2:$B$5,MATCH(E304,'SLA Policy'!$A$2:$A$5,0))</f>
        <v>8</v>
      </c>
      <c r="M304" s="2" t="str">
        <f aca="false">IF(K304="","Open",IF(K304&lt;=L304,"Yes","No"))</f>
        <v>No</v>
      </c>
    </row>
    <row r="305" customFormat="false" ht="15" hidden="false" customHeight="false" outlineLevel="0" collapsed="false">
      <c r="A305" s="2" t="s">
        <v>339</v>
      </c>
      <c r="B305" s="7" t="n">
        <v>46071.60625</v>
      </c>
      <c r="C305" s="7" t="n">
        <v>46071.7923611111</v>
      </c>
      <c r="D305" s="2" t="s">
        <v>27</v>
      </c>
      <c r="E305" s="2" t="s">
        <v>23</v>
      </c>
      <c r="F305" s="2" t="s">
        <v>27</v>
      </c>
      <c r="G305" s="2" t="s">
        <v>29</v>
      </c>
      <c r="H305" s="2" t="n">
        <v>5</v>
      </c>
      <c r="I305" s="2" t="str">
        <f aca="false">IF(C305="","Open","Resolved")</f>
        <v>Resolved</v>
      </c>
      <c r="J305" s="2" t="str">
        <f aca="false">TEXT(B305,"yyyy-mm")</f>
        <v>2026-02</v>
      </c>
      <c r="K305" s="8" t="n">
        <f aca="false">IF(C305="","",ROUND((C305-B305)*24,2))</f>
        <v>4.47</v>
      </c>
      <c r="L305" s="2" t="n">
        <f aca="false">INDEX('SLA Policy'!$B$2:$B$5,MATCH(E305,'SLA Policy'!$A$2:$A$5,0))</f>
        <v>8</v>
      </c>
      <c r="M305" s="2" t="str">
        <f aca="false">IF(K305="","Open",IF(K305&lt;=L305,"Yes","No"))</f>
        <v>Yes</v>
      </c>
    </row>
    <row r="306" customFormat="false" ht="15" hidden="false" customHeight="false" outlineLevel="0" collapsed="false">
      <c r="A306" s="2" t="s">
        <v>340</v>
      </c>
      <c r="B306" s="7" t="n">
        <v>46071.6798611111</v>
      </c>
      <c r="C306" s="7" t="n">
        <v>46073.4013888889</v>
      </c>
      <c r="D306" s="2" t="s">
        <v>31</v>
      </c>
      <c r="E306" s="2" t="s">
        <v>35</v>
      </c>
      <c r="F306" s="2" t="s">
        <v>24</v>
      </c>
      <c r="G306" s="2" t="s">
        <v>33</v>
      </c>
      <c r="H306" s="2" t="n">
        <v>3</v>
      </c>
      <c r="I306" s="2" t="str">
        <f aca="false">IF(C306="","Open","Resolved")</f>
        <v>Resolved</v>
      </c>
      <c r="J306" s="2" t="str">
        <f aca="false">TEXT(B306,"yyyy-mm")</f>
        <v>2026-02</v>
      </c>
      <c r="K306" s="8" t="n">
        <f aca="false">IF(C306="","",ROUND((C306-B306)*24,2))</f>
        <v>41.32</v>
      </c>
      <c r="L306" s="2" t="n">
        <f aca="false">INDEX('SLA Policy'!$B$2:$B$5,MATCH(E306,'SLA Policy'!$A$2:$A$5,0))</f>
        <v>24</v>
      </c>
      <c r="M306" s="2" t="str">
        <f aca="false">IF(K306="","Open",IF(K306&lt;=L306,"Yes","No"))</f>
        <v>No</v>
      </c>
    </row>
    <row r="307" customFormat="false" ht="15" hidden="false" customHeight="false" outlineLevel="0" collapsed="false">
      <c r="A307" s="2" t="s">
        <v>341</v>
      </c>
      <c r="B307" s="7" t="n">
        <v>46071.6979166667</v>
      </c>
      <c r="C307" s="7" t="n">
        <v>46071.8</v>
      </c>
      <c r="D307" s="2" t="s">
        <v>42</v>
      </c>
      <c r="E307" s="2" t="s">
        <v>23</v>
      </c>
      <c r="F307" s="2" t="s">
        <v>24</v>
      </c>
      <c r="G307" s="2" t="s">
        <v>29</v>
      </c>
      <c r="H307" s="2" t="n">
        <v>4</v>
      </c>
      <c r="I307" s="2" t="str">
        <f aca="false">IF(C307="","Open","Resolved")</f>
        <v>Resolved</v>
      </c>
      <c r="J307" s="2" t="str">
        <f aca="false">TEXT(B307,"yyyy-mm")</f>
        <v>2026-02</v>
      </c>
      <c r="K307" s="8" t="n">
        <f aca="false">IF(C307="","",ROUND((C307-B307)*24,2))</f>
        <v>2.45</v>
      </c>
      <c r="L307" s="2" t="n">
        <f aca="false">INDEX('SLA Policy'!$B$2:$B$5,MATCH(E307,'SLA Policy'!$A$2:$A$5,0))</f>
        <v>8</v>
      </c>
      <c r="M307" s="2" t="str">
        <f aca="false">IF(K307="","Open",IF(K307&lt;=L307,"Yes","No"))</f>
        <v>Yes</v>
      </c>
    </row>
    <row r="308" customFormat="false" ht="15" hidden="false" customHeight="false" outlineLevel="0" collapsed="false">
      <c r="A308" s="2" t="s">
        <v>342</v>
      </c>
      <c r="B308" s="7" t="n">
        <v>46072.4729166667</v>
      </c>
      <c r="C308" s="7" t="n">
        <v>46072.9993055556</v>
      </c>
      <c r="D308" s="2" t="s">
        <v>42</v>
      </c>
      <c r="E308" s="2" t="s">
        <v>23</v>
      </c>
      <c r="F308" s="2" t="s">
        <v>38</v>
      </c>
      <c r="G308" s="2" t="s">
        <v>29</v>
      </c>
      <c r="H308" s="2" t="n">
        <v>5</v>
      </c>
      <c r="I308" s="2" t="str">
        <f aca="false">IF(C308="","Open","Resolved")</f>
        <v>Resolved</v>
      </c>
      <c r="J308" s="2" t="str">
        <f aca="false">TEXT(B308,"yyyy-mm")</f>
        <v>2026-02</v>
      </c>
      <c r="K308" s="8" t="n">
        <f aca="false">IF(C308="","",ROUND((C308-B308)*24,2))</f>
        <v>12.63</v>
      </c>
      <c r="L308" s="2" t="n">
        <f aca="false">INDEX('SLA Policy'!$B$2:$B$5,MATCH(E308,'SLA Policy'!$A$2:$A$5,0))</f>
        <v>8</v>
      </c>
      <c r="M308" s="2" t="str">
        <f aca="false">IF(K308="","Open",IF(K308&lt;=L308,"Yes","No"))</f>
        <v>No</v>
      </c>
    </row>
    <row r="309" customFormat="false" ht="15" hidden="false" customHeight="false" outlineLevel="0" collapsed="false">
      <c r="A309" s="2" t="s">
        <v>343</v>
      </c>
      <c r="B309" s="7" t="n">
        <v>46072.5104166667</v>
      </c>
      <c r="C309" s="7" t="n">
        <v>46072.9388888889</v>
      </c>
      <c r="D309" s="2" t="s">
        <v>42</v>
      </c>
      <c r="E309" s="2" t="s">
        <v>32</v>
      </c>
      <c r="F309" s="2" t="s">
        <v>27</v>
      </c>
      <c r="G309" s="2" t="s">
        <v>29</v>
      </c>
      <c r="H309" s="2" t="n">
        <v>4</v>
      </c>
      <c r="I309" s="2" t="str">
        <f aca="false">IF(C309="","Open","Resolved")</f>
        <v>Resolved</v>
      </c>
      <c r="J309" s="2" t="str">
        <f aca="false">TEXT(B309,"yyyy-mm")</f>
        <v>2026-02</v>
      </c>
      <c r="K309" s="8" t="n">
        <f aca="false">IF(C309="","",ROUND((C309-B309)*24,2))</f>
        <v>10.28</v>
      </c>
      <c r="L309" s="2" t="n">
        <f aca="false">INDEX('SLA Policy'!$B$2:$B$5,MATCH(E309,'SLA Policy'!$A$2:$A$5,0))</f>
        <v>72</v>
      </c>
      <c r="M309" s="2" t="str">
        <f aca="false">IF(K309="","Open",IF(K309&lt;=L309,"Yes","No"))</f>
        <v>Yes</v>
      </c>
    </row>
    <row r="310" customFormat="false" ht="15" hidden="false" customHeight="false" outlineLevel="0" collapsed="false">
      <c r="A310" s="2" t="s">
        <v>344</v>
      </c>
      <c r="B310" s="7" t="n">
        <v>46072.6854166667</v>
      </c>
      <c r="C310" s="7" t="n">
        <v>46072.9770833333</v>
      </c>
      <c r="D310" s="2" t="s">
        <v>48</v>
      </c>
      <c r="E310" s="2" t="s">
        <v>40</v>
      </c>
      <c r="F310" s="2" t="s">
        <v>27</v>
      </c>
      <c r="G310" s="2" t="s">
        <v>25</v>
      </c>
      <c r="H310" s="2" t="n">
        <v>5</v>
      </c>
      <c r="I310" s="2" t="str">
        <f aca="false">IF(C310="","Open","Resolved")</f>
        <v>Resolved</v>
      </c>
      <c r="J310" s="2" t="str">
        <f aca="false">TEXT(B310,"yyyy-mm")</f>
        <v>2026-02</v>
      </c>
      <c r="K310" s="8" t="n">
        <f aca="false">IF(C310="","",ROUND((C310-B310)*24,2))</f>
        <v>7</v>
      </c>
      <c r="L310" s="2" t="n">
        <f aca="false">INDEX('SLA Policy'!$B$2:$B$5,MATCH(E310,'SLA Policy'!$A$2:$A$5,0))</f>
        <v>4</v>
      </c>
      <c r="M310" s="2" t="str">
        <f aca="false">IF(K310="","Open",IF(K310&lt;=L310,"Yes","No"))</f>
        <v>No</v>
      </c>
    </row>
    <row r="311" customFormat="false" ht="15" hidden="false" customHeight="false" outlineLevel="0" collapsed="false">
      <c r="A311" s="2" t="s">
        <v>345</v>
      </c>
      <c r="B311" s="7" t="n">
        <v>46072.7020833333</v>
      </c>
      <c r="C311" s="7" t="n">
        <v>46073.4722222222</v>
      </c>
      <c r="D311" s="2" t="s">
        <v>48</v>
      </c>
      <c r="E311" s="2" t="s">
        <v>35</v>
      </c>
      <c r="F311" s="2" t="s">
        <v>27</v>
      </c>
      <c r="G311" s="2" t="s">
        <v>25</v>
      </c>
      <c r="H311" s="2" t="n">
        <v>5</v>
      </c>
      <c r="I311" s="2" t="str">
        <f aca="false">IF(C311="","Open","Resolved")</f>
        <v>Resolved</v>
      </c>
      <c r="J311" s="2" t="str">
        <f aca="false">TEXT(B311,"yyyy-mm")</f>
        <v>2026-02</v>
      </c>
      <c r="K311" s="8" t="n">
        <f aca="false">IF(C311="","",ROUND((C311-B311)*24,2))</f>
        <v>18.48</v>
      </c>
      <c r="L311" s="2" t="n">
        <f aca="false">INDEX('SLA Policy'!$B$2:$B$5,MATCH(E311,'SLA Policy'!$A$2:$A$5,0))</f>
        <v>24</v>
      </c>
      <c r="M311" s="2" t="str">
        <f aca="false">IF(K311="","Open",IF(K311&lt;=L311,"Yes","No"))</f>
        <v>Yes</v>
      </c>
    </row>
    <row r="312" customFormat="false" ht="15" hidden="false" customHeight="false" outlineLevel="0" collapsed="false">
      <c r="A312" s="2" t="s">
        <v>346</v>
      </c>
      <c r="B312" s="7" t="n">
        <v>46072.7513888889</v>
      </c>
      <c r="C312" s="7" t="n">
        <v>46075.8340277778</v>
      </c>
      <c r="D312" s="2" t="s">
        <v>22</v>
      </c>
      <c r="E312" s="2" t="s">
        <v>35</v>
      </c>
      <c r="F312" s="2" t="s">
        <v>28</v>
      </c>
      <c r="G312" s="2" t="s">
        <v>25</v>
      </c>
      <c r="H312" s="2" t="n">
        <v>2</v>
      </c>
      <c r="I312" s="2" t="str">
        <f aca="false">IF(C312="","Open","Resolved")</f>
        <v>Resolved</v>
      </c>
      <c r="J312" s="2" t="str">
        <f aca="false">TEXT(B312,"yyyy-mm")</f>
        <v>2026-02</v>
      </c>
      <c r="K312" s="8" t="n">
        <f aca="false">IF(C312="","",ROUND((C312-B312)*24,2))</f>
        <v>73.98</v>
      </c>
      <c r="L312" s="2" t="n">
        <f aca="false">INDEX('SLA Policy'!$B$2:$B$5,MATCH(E312,'SLA Policy'!$A$2:$A$5,0))</f>
        <v>24</v>
      </c>
      <c r="M312" s="2" t="str">
        <f aca="false">IF(K312="","Open",IF(K312&lt;=L312,"Yes","No"))</f>
        <v>No</v>
      </c>
    </row>
    <row r="313" customFormat="false" ht="15" hidden="false" customHeight="false" outlineLevel="0" collapsed="false">
      <c r="A313" s="2" t="s">
        <v>347</v>
      </c>
      <c r="B313" s="7" t="n">
        <v>46073.3020833333</v>
      </c>
      <c r="C313" s="7" t="n">
        <v>46073.4006944444</v>
      </c>
      <c r="D313" s="2" t="s">
        <v>48</v>
      </c>
      <c r="E313" s="2" t="s">
        <v>40</v>
      </c>
      <c r="F313" s="2" t="s">
        <v>28</v>
      </c>
      <c r="G313" s="2" t="s">
        <v>25</v>
      </c>
      <c r="H313" s="2" t="n">
        <v>4</v>
      </c>
      <c r="I313" s="2" t="str">
        <f aca="false">IF(C313="","Open","Resolved")</f>
        <v>Resolved</v>
      </c>
      <c r="J313" s="2" t="str">
        <f aca="false">TEXT(B313,"yyyy-mm")</f>
        <v>2026-02</v>
      </c>
      <c r="K313" s="8" t="n">
        <f aca="false">IF(C313="","",ROUND((C313-B313)*24,2))</f>
        <v>2.37</v>
      </c>
      <c r="L313" s="2" t="n">
        <f aca="false">INDEX('SLA Policy'!$B$2:$B$5,MATCH(E313,'SLA Policy'!$A$2:$A$5,0))</f>
        <v>4</v>
      </c>
      <c r="M313" s="2" t="str">
        <f aca="false">IF(K313="","Open",IF(K313&lt;=L313,"Yes","No"))</f>
        <v>Yes</v>
      </c>
    </row>
    <row r="314" customFormat="false" ht="15" hidden="false" customHeight="false" outlineLevel="0" collapsed="false">
      <c r="A314" s="2" t="s">
        <v>348</v>
      </c>
      <c r="B314" s="7" t="n">
        <v>46073.4138888889</v>
      </c>
      <c r="C314" s="7" t="n">
        <v>46073.6951388889</v>
      </c>
      <c r="D314" s="2" t="s">
        <v>27</v>
      </c>
      <c r="E314" s="2" t="s">
        <v>35</v>
      </c>
      <c r="F314" s="2" t="s">
        <v>38</v>
      </c>
      <c r="G314" s="2" t="s">
        <v>29</v>
      </c>
      <c r="H314" s="2" t="n">
        <v>5</v>
      </c>
      <c r="I314" s="2" t="str">
        <f aca="false">IF(C314="","Open","Resolved")</f>
        <v>Resolved</v>
      </c>
      <c r="J314" s="2" t="str">
        <f aca="false">TEXT(B314,"yyyy-mm")</f>
        <v>2026-02</v>
      </c>
      <c r="K314" s="8" t="n">
        <f aca="false">IF(C314="","",ROUND((C314-B314)*24,2))</f>
        <v>6.75</v>
      </c>
      <c r="L314" s="2" t="n">
        <f aca="false">INDEX('SLA Policy'!$B$2:$B$5,MATCH(E314,'SLA Policy'!$A$2:$A$5,0))</f>
        <v>24</v>
      </c>
      <c r="M314" s="2" t="str">
        <f aca="false">IF(K314="","Open",IF(K314&lt;=L314,"Yes","No"))</f>
        <v>Yes</v>
      </c>
    </row>
    <row r="315" customFormat="false" ht="15" hidden="false" customHeight="false" outlineLevel="0" collapsed="false">
      <c r="A315" s="2" t="s">
        <v>349</v>
      </c>
      <c r="B315" s="7" t="n">
        <v>46073.6319444445</v>
      </c>
      <c r="C315" s="7" t="n">
        <v>46074.2145833333</v>
      </c>
      <c r="D315" s="2" t="s">
        <v>31</v>
      </c>
      <c r="E315" s="2" t="s">
        <v>35</v>
      </c>
      <c r="F315" s="2" t="s">
        <v>24</v>
      </c>
      <c r="G315" s="2" t="s">
        <v>33</v>
      </c>
      <c r="H315" s="2" t="n">
        <v>4</v>
      </c>
      <c r="I315" s="2" t="str">
        <f aca="false">IF(C315="","Open","Resolved")</f>
        <v>Resolved</v>
      </c>
      <c r="J315" s="2" t="str">
        <f aca="false">TEXT(B315,"yyyy-mm")</f>
        <v>2026-02</v>
      </c>
      <c r="K315" s="8" t="n">
        <f aca="false">IF(C315="","",ROUND((C315-B315)*24,2))</f>
        <v>13.98</v>
      </c>
      <c r="L315" s="2" t="n">
        <f aca="false">INDEX('SLA Policy'!$B$2:$B$5,MATCH(E315,'SLA Policy'!$A$2:$A$5,0))</f>
        <v>24</v>
      </c>
      <c r="M315" s="2" t="str">
        <f aca="false">IF(K315="","Open",IF(K315&lt;=L315,"Yes","No"))</f>
        <v>Yes</v>
      </c>
    </row>
    <row r="316" customFormat="false" ht="15" hidden="false" customHeight="false" outlineLevel="0" collapsed="false">
      <c r="A316" s="2" t="s">
        <v>350</v>
      </c>
      <c r="B316" s="7" t="n">
        <v>46073.6465277778</v>
      </c>
      <c r="C316" s="7" t="n">
        <v>46074.4694444445</v>
      </c>
      <c r="D316" s="2" t="s">
        <v>42</v>
      </c>
      <c r="E316" s="2" t="s">
        <v>35</v>
      </c>
      <c r="F316" s="2" t="s">
        <v>38</v>
      </c>
      <c r="G316" s="2" t="s">
        <v>29</v>
      </c>
      <c r="H316" s="2" t="n">
        <v>4</v>
      </c>
      <c r="I316" s="2" t="str">
        <f aca="false">IF(C316="","Open","Resolved")</f>
        <v>Resolved</v>
      </c>
      <c r="J316" s="2" t="str">
        <f aca="false">TEXT(B316,"yyyy-mm")</f>
        <v>2026-02</v>
      </c>
      <c r="K316" s="8" t="n">
        <f aca="false">IF(C316="","",ROUND((C316-B316)*24,2))</f>
        <v>19.75</v>
      </c>
      <c r="L316" s="2" t="n">
        <f aca="false">INDEX('SLA Policy'!$B$2:$B$5,MATCH(E316,'SLA Policy'!$A$2:$A$5,0))</f>
        <v>24</v>
      </c>
      <c r="M316" s="2" t="str">
        <f aca="false">IF(K316="","Open",IF(K316&lt;=L316,"Yes","No"))</f>
        <v>Yes</v>
      </c>
    </row>
    <row r="317" customFormat="false" ht="15" hidden="false" customHeight="false" outlineLevel="0" collapsed="false">
      <c r="A317" s="2" t="s">
        <v>351</v>
      </c>
      <c r="B317" s="7" t="n">
        <v>46073.6604166667</v>
      </c>
      <c r="C317" s="7" t="n">
        <v>46078.05</v>
      </c>
      <c r="D317" s="2" t="s">
        <v>48</v>
      </c>
      <c r="E317" s="2" t="s">
        <v>32</v>
      </c>
      <c r="F317" s="2" t="s">
        <v>24</v>
      </c>
      <c r="G317" s="2" t="s">
        <v>25</v>
      </c>
      <c r="H317" s="2" t="n">
        <v>1</v>
      </c>
      <c r="I317" s="2" t="str">
        <f aca="false">IF(C317="","Open","Resolved")</f>
        <v>Resolved</v>
      </c>
      <c r="J317" s="2" t="str">
        <f aca="false">TEXT(B317,"yyyy-mm")</f>
        <v>2026-02</v>
      </c>
      <c r="K317" s="8" t="n">
        <f aca="false">IF(C317="","",ROUND((C317-B317)*24,2))</f>
        <v>105.35</v>
      </c>
      <c r="L317" s="2" t="n">
        <f aca="false">INDEX('SLA Policy'!$B$2:$B$5,MATCH(E317,'SLA Policy'!$A$2:$A$5,0))</f>
        <v>72</v>
      </c>
      <c r="M317" s="2" t="str">
        <f aca="false">IF(K317="","Open",IF(K317&lt;=L317,"Yes","No"))</f>
        <v>No</v>
      </c>
    </row>
    <row r="318" customFormat="false" ht="15" hidden="false" customHeight="false" outlineLevel="0" collapsed="false">
      <c r="A318" s="2" t="s">
        <v>352</v>
      </c>
      <c r="B318" s="7" t="n">
        <v>46073.6819444444</v>
      </c>
      <c r="C318" s="7" t="n">
        <v>46074.8854166667</v>
      </c>
      <c r="D318" s="2" t="s">
        <v>31</v>
      </c>
      <c r="E318" s="2" t="s">
        <v>35</v>
      </c>
      <c r="F318" s="2" t="s">
        <v>24</v>
      </c>
      <c r="G318" s="2" t="s">
        <v>33</v>
      </c>
      <c r="H318" s="2" t="n">
        <v>4</v>
      </c>
      <c r="I318" s="2" t="str">
        <f aca="false">IF(C318="","Open","Resolved")</f>
        <v>Resolved</v>
      </c>
      <c r="J318" s="2" t="str">
        <f aca="false">TEXT(B318,"yyyy-mm")</f>
        <v>2026-02</v>
      </c>
      <c r="K318" s="8" t="n">
        <f aca="false">IF(C318="","",ROUND((C318-B318)*24,2))</f>
        <v>28.88</v>
      </c>
      <c r="L318" s="2" t="n">
        <f aca="false">INDEX('SLA Policy'!$B$2:$B$5,MATCH(E318,'SLA Policy'!$A$2:$A$5,0))</f>
        <v>24</v>
      </c>
      <c r="M318" s="2" t="str">
        <f aca="false">IF(K318="","Open",IF(K318&lt;=L318,"Yes","No"))</f>
        <v>No</v>
      </c>
    </row>
    <row r="319" customFormat="false" ht="15" hidden="false" customHeight="false" outlineLevel="0" collapsed="false">
      <c r="A319" s="2" t="s">
        <v>353</v>
      </c>
      <c r="B319" s="7" t="n">
        <v>46073.6854166667</v>
      </c>
      <c r="C319" s="7" t="n">
        <v>46074.4152777778</v>
      </c>
      <c r="D319" s="2" t="s">
        <v>42</v>
      </c>
      <c r="E319" s="2" t="s">
        <v>32</v>
      </c>
      <c r="F319" s="2" t="s">
        <v>27</v>
      </c>
      <c r="G319" s="2" t="s">
        <v>29</v>
      </c>
      <c r="H319" s="2" t="n">
        <v>5</v>
      </c>
      <c r="I319" s="2" t="str">
        <f aca="false">IF(C319="","Open","Resolved")</f>
        <v>Resolved</v>
      </c>
      <c r="J319" s="2" t="str">
        <f aca="false">TEXT(B319,"yyyy-mm")</f>
        <v>2026-02</v>
      </c>
      <c r="K319" s="8" t="n">
        <f aca="false">IF(C319="","",ROUND((C319-B319)*24,2))</f>
        <v>17.52</v>
      </c>
      <c r="L319" s="2" t="n">
        <f aca="false">INDEX('SLA Policy'!$B$2:$B$5,MATCH(E319,'SLA Policy'!$A$2:$A$5,0))</f>
        <v>72</v>
      </c>
      <c r="M319" s="2" t="str">
        <f aca="false">IF(K319="","Open",IF(K319&lt;=L319,"Yes","No"))</f>
        <v>Yes</v>
      </c>
    </row>
    <row r="320" customFormat="false" ht="15" hidden="false" customHeight="false" outlineLevel="0" collapsed="false">
      <c r="A320" s="2" t="s">
        <v>354</v>
      </c>
      <c r="B320" s="7" t="n">
        <v>46073.7145833333</v>
      </c>
      <c r="C320" s="7" t="n">
        <v>46074.9625</v>
      </c>
      <c r="D320" s="2" t="s">
        <v>22</v>
      </c>
      <c r="E320" s="2" t="s">
        <v>35</v>
      </c>
      <c r="F320" s="2" t="s">
        <v>27</v>
      </c>
      <c r="G320" s="2" t="s">
        <v>25</v>
      </c>
      <c r="H320" s="2" t="n">
        <v>4</v>
      </c>
      <c r="I320" s="2" t="str">
        <f aca="false">IF(C320="","Open","Resolved")</f>
        <v>Resolved</v>
      </c>
      <c r="J320" s="2" t="str">
        <f aca="false">TEXT(B320,"yyyy-mm")</f>
        <v>2026-02</v>
      </c>
      <c r="K320" s="8" t="n">
        <f aca="false">IF(C320="","",ROUND((C320-B320)*24,2))</f>
        <v>29.95</v>
      </c>
      <c r="L320" s="2" t="n">
        <f aca="false">INDEX('SLA Policy'!$B$2:$B$5,MATCH(E320,'SLA Policy'!$A$2:$A$5,0))</f>
        <v>24</v>
      </c>
      <c r="M320" s="2" t="str">
        <f aca="false">IF(K320="","Open",IF(K320&lt;=L320,"Yes","No"))</f>
        <v>No</v>
      </c>
    </row>
    <row r="321" customFormat="false" ht="15" hidden="false" customHeight="false" outlineLevel="0" collapsed="false">
      <c r="A321" s="2" t="s">
        <v>355</v>
      </c>
      <c r="B321" s="7" t="n">
        <v>46073.7465277778</v>
      </c>
      <c r="C321" s="7" t="n">
        <v>46078.4472222222</v>
      </c>
      <c r="D321" s="2" t="s">
        <v>48</v>
      </c>
      <c r="E321" s="2" t="s">
        <v>35</v>
      </c>
      <c r="F321" s="2" t="s">
        <v>24</v>
      </c>
      <c r="G321" s="2" t="s">
        <v>25</v>
      </c>
      <c r="H321" s="2" t="n">
        <v>1</v>
      </c>
      <c r="I321" s="2" t="str">
        <f aca="false">IF(C321="","Open","Resolved")</f>
        <v>Resolved</v>
      </c>
      <c r="J321" s="2" t="str">
        <f aca="false">TEXT(B321,"yyyy-mm")</f>
        <v>2026-02</v>
      </c>
      <c r="K321" s="8" t="n">
        <f aca="false">IF(C321="","",ROUND((C321-B321)*24,2))</f>
        <v>112.82</v>
      </c>
      <c r="L321" s="2" t="n">
        <f aca="false">INDEX('SLA Policy'!$B$2:$B$5,MATCH(E321,'SLA Policy'!$A$2:$A$5,0))</f>
        <v>24</v>
      </c>
      <c r="M321" s="2" t="str">
        <f aca="false">IF(K321="","Open",IF(K321&lt;=L321,"Yes","No"))</f>
        <v>No</v>
      </c>
    </row>
    <row r="322" customFormat="false" ht="15" hidden="false" customHeight="false" outlineLevel="0" collapsed="false">
      <c r="A322" s="2" t="s">
        <v>356</v>
      </c>
      <c r="B322" s="7" t="n">
        <v>46073.7784722222</v>
      </c>
      <c r="C322" s="7" t="n">
        <v>46074.3923611111</v>
      </c>
      <c r="D322" s="2" t="s">
        <v>27</v>
      </c>
      <c r="E322" s="2" t="s">
        <v>32</v>
      </c>
      <c r="F322" s="2" t="s">
        <v>24</v>
      </c>
      <c r="G322" s="2" t="s">
        <v>29</v>
      </c>
      <c r="H322" s="2" t="n">
        <v>5</v>
      </c>
      <c r="I322" s="2" t="str">
        <f aca="false">IF(C322="","Open","Resolved")</f>
        <v>Resolved</v>
      </c>
      <c r="J322" s="2" t="str">
        <f aca="false">TEXT(B322,"yyyy-mm")</f>
        <v>2026-02</v>
      </c>
      <c r="K322" s="8" t="n">
        <f aca="false">IF(C322="","",ROUND((C322-B322)*24,2))</f>
        <v>14.73</v>
      </c>
      <c r="L322" s="2" t="n">
        <f aca="false">INDEX('SLA Policy'!$B$2:$B$5,MATCH(E322,'SLA Policy'!$A$2:$A$5,0))</f>
        <v>72</v>
      </c>
      <c r="M322" s="2" t="str">
        <f aca="false">IF(K322="","Open",IF(K322&lt;=L322,"Yes","No"))</f>
        <v>Yes</v>
      </c>
    </row>
    <row r="323" customFormat="false" ht="15" hidden="false" customHeight="false" outlineLevel="0" collapsed="false">
      <c r="A323" s="2" t="s">
        <v>357</v>
      </c>
      <c r="B323" s="7" t="n">
        <v>46074.4388888889</v>
      </c>
      <c r="C323" s="7" t="n">
        <v>46074.7027777778</v>
      </c>
      <c r="D323" s="2" t="s">
        <v>31</v>
      </c>
      <c r="E323" s="2" t="s">
        <v>23</v>
      </c>
      <c r="F323" s="2" t="s">
        <v>38</v>
      </c>
      <c r="G323" s="2" t="s">
        <v>33</v>
      </c>
      <c r="H323" s="2" t="n">
        <v>4</v>
      </c>
      <c r="I323" s="2" t="str">
        <f aca="false">IF(C323="","Open","Resolved")</f>
        <v>Resolved</v>
      </c>
      <c r="J323" s="2" t="str">
        <f aca="false">TEXT(B323,"yyyy-mm")</f>
        <v>2026-02</v>
      </c>
      <c r="K323" s="8" t="n">
        <f aca="false">IF(C323="","",ROUND((C323-B323)*24,2))</f>
        <v>6.33</v>
      </c>
      <c r="L323" s="2" t="n">
        <f aca="false">INDEX('SLA Policy'!$B$2:$B$5,MATCH(E323,'SLA Policy'!$A$2:$A$5,0))</f>
        <v>8</v>
      </c>
      <c r="M323" s="2" t="str">
        <f aca="false">IF(K323="","Open",IF(K323&lt;=L323,"Yes","No"))</f>
        <v>Yes</v>
      </c>
    </row>
    <row r="324" customFormat="false" ht="15" hidden="false" customHeight="false" outlineLevel="0" collapsed="false">
      <c r="A324" s="2" t="s">
        <v>358</v>
      </c>
      <c r="B324" s="7" t="n">
        <v>46075.65</v>
      </c>
      <c r="C324" s="7" t="n">
        <v>46077.9659722222</v>
      </c>
      <c r="D324" s="2" t="s">
        <v>22</v>
      </c>
      <c r="E324" s="2" t="s">
        <v>35</v>
      </c>
      <c r="F324" s="2" t="s">
        <v>27</v>
      </c>
      <c r="G324" s="2" t="s">
        <v>25</v>
      </c>
      <c r="H324" s="2" t="n">
        <v>4</v>
      </c>
      <c r="I324" s="2" t="str">
        <f aca="false">IF(C324="","Open","Resolved")</f>
        <v>Resolved</v>
      </c>
      <c r="J324" s="2" t="str">
        <f aca="false">TEXT(B324,"yyyy-mm")</f>
        <v>2026-02</v>
      </c>
      <c r="K324" s="8" t="n">
        <f aca="false">IF(C324="","",ROUND((C324-B324)*24,2))</f>
        <v>55.58</v>
      </c>
      <c r="L324" s="2" t="n">
        <f aca="false">INDEX('SLA Policy'!$B$2:$B$5,MATCH(E324,'SLA Policy'!$A$2:$A$5,0))</f>
        <v>24</v>
      </c>
      <c r="M324" s="2" t="str">
        <f aca="false">IF(K324="","Open",IF(K324&lt;=L324,"Yes","No"))</f>
        <v>No</v>
      </c>
    </row>
    <row r="325" customFormat="false" ht="15" hidden="false" customHeight="false" outlineLevel="0" collapsed="false">
      <c r="A325" s="2" t="s">
        <v>359</v>
      </c>
      <c r="B325" s="7" t="n">
        <v>46076.4708333333</v>
      </c>
      <c r="C325" s="7" t="n">
        <v>46076.8243055556</v>
      </c>
      <c r="D325" s="2" t="s">
        <v>31</v>
      </c>
      <c r="E325" s="2" t="s">
        <v>23</v>
      </c>
      <c r="F325" s="2" t="s">
        <v>24</v>
      </c>
      <c r="G325" s="2" t="s">
        <v>33</v>
      </c>
      <c r="H325" s="2" t="n">
        <v>5</v>
      </c>
      <c r="I325" s="2" t="str">
        <f aca="false">IF(C325="","Open","Resolved")</f>
        <v>Resolved</v>
      </c>
      <c r="J325" s="2" t="str">
        <f aca="false">TEXT(B325,"yyyy-mm")</f>
        <v>2026-02</v>
      </c>
      <c r="K325" s="8" t="n">
        <f aca="false">IF(C325="","",ROUND((C325-B325)*24,2))</f>
        <v>8.48</v>
      </c>
      <c r="L325" s="2" t="n">
        <f aca="false">INDEX('SLA Policy'!$B$2:$B$5,MATCH(E325,'SLA Policy'!$A$2:$A$5,0))</f>
        <v>8</v>
      </c>
      <c r="M325" s="2" t="str">
        <f aca="false">IF(K325="","Open",IF(K325&lt;=L325,"Yes","No"))</f>
        <v>No</v>
      </c>
    </row>
    <row r="326" customFormat="false" ht="15" hidden="false" customHeight="false" outlineLevel="0" collapsed="false">
      <c r="A326" s="2" t="s">
        <v>360</v>
      </c>
      <c r="B326" s="7" t="n">
        <v>46076.4993055556</v>
      </c>
      <c r="C326" s="7" t="n">
        <v>46077.3631944444</v>
      </c>
      <c r="D326" s="2" t="s">
        <v>31</v>
      </c>
      <c r="E326" s="2" t="s">
        <v>32</v>
      </c>
      <c r="F326" s="2" t="s">
        <v>24</v>
      </c>
      <c r="G326" s="2" t="s">
        <v>33</v>
      </c>
      <c r="H326" s="2" t="n">
        <v>5</v>
      </c>
      <c r="I326" s="2" t="str">
        <f aca="false">IF(C326="","Open","Resolved")</f>
        <v>Resolved</v>
      </c>
      <c r="J326" s="2" t="str">
        <f aca="false">TEXT(B326,"yyyy-mm")</f>
        <v>2026-02</v>
      </c>
      <c r="K326" s="8" t="n">
        <f aca="false">IF(C326="","",ROUND((C326-B326)*24,2))</f>
        <v>20.73</v>
      </c>
      <c r="L326" s="2" t="n">
        <f aca="false">INDEX('SLA Policy'!$B$2:$B$5,MATCH(E326,'SLA Policy'!$A$2:$A$5,0))</f>
        <v>72</v>
      </c>
      <c r="M326" s="2" t="str">
        <f aca="false">IF(K326="","Open",IF(K326&lt;=L326,"Yes","No"))</f>
        <v>Yes</v>
      </c>
    </row>
    <row r="327" customFormat="false" ht="15" hidden="false" customHeight="false" outlineLevel="0" collapsed="false">
      <c r="A327" s="2" t="s">
        <v>361</v>
      </c>
      <c r="B327" s="7" t="n">
        <v>46076.5659722222</v>
      </c>
      <c r="C327" s="7" t="n">
        <v>46077.5708333333</v>
      </c>
      <c r="D327" s="2" t="s">
        <v>31</v>
      </c>
      <c r="E327" s="2" t="s">
        <v>32</v>
      </c>
      <c r="F327" s="2" t="s">
        <v>24</v>
      </c>
      <c r="G327" s="2" t="s">
        <v>33</v>
      </c>
      <c r="H327" s="2" t="n">
        <v>3</v>
      </c>
      <c r="I327" s="2" t="str">
        <f aca="false">IF(C327="","Open","Resolved")</f>
        <v>Resolved</v>
      </c>
      <c r="J327" s="2" t="str">
        <f aca="false">TEXT(B327,"yyyy-mm")</f>
        <v>2026-02</v>
      </c>
      <c r="K327" s="8" t="n">
        <f aca="false">IF(C327="","",ROUND((C327-B327)*24,2))</f>
        <v>24.12</v>
      </c>
      <c r="L327" s="2" t="n">
        <f aca="false">INDEX('SLA Policy'!$B$2:$B$5,MATCH(E327,'SLA Policy'!$A$2:$A$5,0))</f>
        <v>72</v>
      </c>
      <c r="M327" s="2" t="str">
        <f aca="false">IF(K327="","Open",IF(K327&lt;=L327,"Yes","No"))</f>
        <v>Yes</v>
      </c>
    </row>
    <row r="328" customFormat="false" ht="15" hidden="false" customHeight="false" outlineLevel="0" collapsed="false">
      <c r="A328" s="2" t="s">
        <v>362</v>
      </c>
      <c r="B328" s="7" t="n">
        <v>46076.6326388889</v>
      </c>
      <c r="C328" s="7" t="n">
        <v>46081.7326388889</v>
      </c>
      <c r="D328" s="2" t="s">
        <v>22</v>
      </c>
      <c r="E328" s="2" t="s">
        <v>35</v>
      </c>
      <c r="F328" s="2" t="s">
        <v>27</v>
      </c>
      <c r="G328" s="2" t="s">
        <v>25</v>
      </c>
      <c r="H328" s="2" t="n">
        <v>1</v>
      </c>
      <c r="I328" s="2" t="str">
        <f aca="false">IF(C328="","Open","Resolved")</f>
        <v>Resolved</v>
      </c>
      <c r="J328" s="2" t="str">
        <f aca="false">TEXT(B328,"yyyy-mm")</f>
        <v>2026-02</v>
      </c>
      <c r="K328" s="8" t="n">
        <f aca="false">IF(C328="","",ROUND((C328-B328)*24,2))</f>
        <v>122.4</v>
      </c>
      <c r="L328" s="2" t="n">
        <f aca="false">INDEX('SLA Policy'!$B$2:$B$5,MATCH(E328,'SLA Policy'!$A$2:$A$5,0))</f>
        <v>24</v>
      </c>
      <c r="M328" s="2" t="str">
        <f aca="false">IF(K328="","Open",IF(K328&lt;=L328,"Yes","No"))</f>
        <v>No</v>
      </c>
    </row>
    <row r="329" customFormat="false" ht="15" hidden="false" customHeight="false" outlineLevel="0" collapsed="false">
      <c r="A329" s="2" t="s">
        <v>363</v>
      </c>
      <c r="B329" s="7" t="n">
        <v>46076.6763888889</v>
      </c>
      <c r="C329" s="7" t="n">
        <v>46076.9861111111</v>
      </c>
      <c r="D329" s="2" t="s">
        <v>27</v>
      </c>
      <c r="E329" s="2" t="s">
        <v>23</v>
      </c>
      <c r="F329" s="2" t="s">
        <v>24</v>
      </c>
      <c r="G329" s="2" t="s">
        <v>29</v>
      </c>
      <c r="H329" s="2" t="n">
        <v>5</v>
      </c>
      <c r="I329" s="2" t="str">
        <f aca="false">IF(C329="","Open","Resolved")</f>
        <v>Resolved</v>
      </c>
      <c r="J329" s="2" t="str">
        <f aca="false">TEXT(B329,"yyyy-mm")</f>
        <v>2026-02</v>
      </c>
      <c r="K329" s="8" t="n">
        <f aca="false">IF(C329="","",ROUND((C329-B329)*24,2))</f>
        <v>7.43</v>
      </c>
      <c r="L329" s="2" t="n">
        <f aca="false">INDEX('SLA Policy'!$B$2:$B$5,MATCH(E329,'SLA Policy'!$A$2:$A$5,0))</f>
        <v>8</v>
      </c>
      <c r="M329" s="2" t="str">
        <f aca="false">IF(K329="","Open",IF(K329&lt;=L329,"Yes","No"))</f>
        <v>Yes</v>
      </c>
    </row>
    <row r="330" customFormat="false" ht="15" hidden="false" customHeight="false" outlineLevel="0" collapsed="false">
      <c r="A330" s="2" t="s">
        <v>364</v>
      </c>
      <c r="B330" s="7" t="n">
        <v>46077.3298611111</v>
      </c>
      <c r="C330" s="7" t="n">
        <v>46077.5263888889</v>
      </c>
      <c r="D330" s="2" t="s">
        <v>42</v>
      </c>
      <c r="E330" s="2" t="s">
        <v>35</v>
      </c>
      <c r="F330" s="2" t="s">
        <v>27</v>
      </c>
      <c r="G330" s="2" t="s">
        <v>29</v>
      </c>
      <c r="H330" s="2" t="n">
        <v>5</v>
      </c>
      <c r="I330" s="2" t="str">
        <f aca="false">IF(C330="","Open","Resolved")</f>
        <v>Resolved</v>
      </c>
      <c r="J330" s="2" t="str">
        <f aca="false">TEXT(B330,"yyyy-mm")</f>
        <v>2026-02</v>
      </c>
      <c r="K330" s="8" t="n">
        <f aca="false">IF(C330="","",ROUND((C330-B330)*24,2))</f>
        <v>4.72</v>
      </c>
      <c r="L330" s="2" t="n">
        <f aca="false">INDEX('SLA Policy'!$B$2:$B$5,MATCH(E330,'SLA Policy'!$A$2:$A$5,0))</f>
        <v>24</v>
      </c>
      <c r="M330" s="2" t="str">
        <f aca="false">IF(K330="","Open",IF(K330&lt;=L330,"Yes","No"))</f>
        <v>Yes</v>
      </c>
    </row>
    <row r="331" customFormat="false" ht="15" hidden="false" customHeight="false" outlineLevel="0" collapsed="false">
      <c r="A331" s="2" t="s">
        <v>365</v>
      </c>
      <c r="B331" s="7" t="n">
        <v>46077.5041666667</v>
      </c>
      <c r="C331" s="7" t="n">
        <v>46077.7923611111</v>
      </c>
      <c r="D331" s="2" t="s">
        <v>31</v>
      </c>
      <c r="E331" s="2" t="s">
        <v>23</v>
      </c>
      <c r="F331" s="2" t="s">
        <v>28</v>
      </c>
      <c r="G331" s="2" t="s">
        <v>33</v>
      </c>
      <c r="H331" s="2" t="n">
        <v>5</v>
      </c>
      <c r="I331" s="2" t="str">
        <f aca="false">IF(C331="","Open","Resolved")</f>
        <v>Resolved</v>
      </c>
      <c r="J331" s="2" t="str">
        <f aca="false">TEXT(B331,"yyyy-mm")</f>
        <v>2026-02</v>
      </c>
      <c r="K331" s="8" t="n">
        <f aca="false">IF(C331="","",ROUND((C331-B331)*24,2))</f>
        <v>6.92</v>
      </c>
      <c r="L331" s="2" t="n">
        <f aca="false">INDEX('SLA Policy'!$B$2:$B$5,MATCH(E331,'SLA Policy'!$A$2:$A$5,0))</f>
        <v>8</v>
      </c>
      <c r="M331" s="2" t="str">
        <f aca="false">IF(K331="","Open",IF(K331&lt;=L331,"Yes","No"))</f>
        <v>Yes</v>
      </c>
    </row>
    <row r="332" customFormat="false" ht="15" hidden="false" customHeight="false" outlineLevel="0" collapsed="false">
      <c r="A332" s="2" t="s">
        <v>366</v>
      </c>
      <c r="B332" s="7" t="n">
        <v>46077.5166666667</v>
      </c>
      <c r="C332" s="7" t="n">
        <v>46078.8256944444</v>
      </c>
      <c r="D332" s="2" t="s">
        <v>31</v>
      </c>
      <c r="E332" s="2" t="s">
        <v>35</v>
      </c>
      <c r="F332" s="2" t="s">
        <v>27</v>
      </c>
      <c r="G332" s="2" t="s">
        <v>33</v>
      </c>
      <c r="H332" s="2" t="n">
        <v>4</v>
      </c>
      <c r="I332" s="2" t="str">
        <f aca="false">IF(C332="","Open","Resolved")</f>
        <v>Resolved</v>
      </c>
      <c r="J332" s="2" t="str">
        <f aca="false">TEXT(B332,"yyyy-mm")</f>
        <v>2026-02</v>
      </c>
      <c r="K332" s="8" t="n">
        <f aca="false">IF(C332="","",ROUND((C332-B332)*24,2))</f>
        <v>31.42</v>
      </c>
      <c r="L332" s="2" t="n">
        <f aca="false">INDEX('SLA Policy'!$B$2:$B$5,MATCH(E332,'SLA Policy'!$A$2:$A$5,0))</f>
        <v>24</v>
      </c>
      <c r="M332" s="2" t="str">
        <f aca="false">IF(K332="","Open",IF(K332&lt;=L332,"Yes","No"))</f>
        <v>No</v>
      </c>
    </row>
    <row r="333" customFormat="false" ht="15" hidden="false" customHeight="false" outlineLevel="0" collapsed="false">
      <c r="A333" s="2" t="s">
        <v>367</v>
      </c>
      <c r="B333" s="7" t="n">
        <v>46077.6145833333</v>
      </c>
      <c r="C333" s="7" t="n">
        <v>46077.85</v>
      </c>
      <c r="D333" s="2" t="s">
        <v>27</v>
      </c>
      <c r="E333" s="2" t="s">
        <v>23</v>
      </c>
      <c r="F333" s="2" t="s">
        <v>27</v>
      </c>
      <c r="G333" s="2" t="s">
        <v>29</v>
      </c>
      <c r="H333" s="2" t="n">
        <v>5</v>
      </c>
      <c r="I333" s="2" t="str">
        <f aca="false">IF(C333="","Open","Resolved")</f>
        <v>Resolved</v>
      </c>
      <c r="J333" s="2" t="str">
        <f aca="false">TEXT(B333,"yyyy-mm")</f>
        <v>2026-02</v>
      </c>
      <c r="K333" s="8" t="n">
        <f aca="false">IF(C333="","",ROUND((C333-B333)*24,2))</f>
        <v>5.65</v>
      </c>
      <c r="L333" s="2" t="n">
        <f aca="false">INDEX('SLA Policy'!$B$2:$B$5,MATCH(E333,'SLA Policy'!$A$2:$A$5,0))</f>
        <v>8</v>
      </c>
      <c r="M333" s="2" t="str">
        <f aca="false">IF(K333="","Open",IF(K333&lt;=L333,"Yes","No"))</f>
        <v>Yes</v>
      </c>
    </row>
    <row r="334" customFormat="false" ht="15" hidden="false" customHeight="false" outlineLevel="0" collapsed="false">
      <c r="A334" s="2" t="s">
        <v>368</v>
      </c>
      <c r="B334" s="7" t="n">
        <v>46077.6416666667</v>
      </c>
      <c r="C334" s="7" t="n">
        <v>46083.4736111111</v>
      </c>
      <c r="D334" s="2" t="s">
        <v>48</v>
      </c>
      <c r="E334" s="2" t="s">
        <v>32</v>
      </c>
      <c r="F334" s="2" t="s">
        <v>27</v>
      </c>
      <c r="G334" s="2" t="s">
        <v>25</v>
      </c>
      <c r="H334" s="2" t="n">
        <v>1</v>
      </c>
      <c r="I334" s="2" t="str">
        <f aca="false">IF(C334="","Open","Resolved")</f>
        <v>Resolved</v>
      </c>
      <c r="J334" s="2" t="str">
        <f aca="false">TEXT(B334,"yyyy-mm")</f>
        <v>2026-02</v>
      </c>
      <c r="K334" s="8" t="n">
        <f aca="false">IF(C334="","",ROUND((C334-B334)*24,2))</f>
        <v>139.97</v>
      </c>
      <c r="L334" s="2" t="n">
        <f aca="false">INDEX('SLA Policy'!$B$2:$B$5,MATCH(E334,'SLA Policy'!$A$2:$A$5,0))</f>
        <v>72</v>
      </c>
      <c r="M334" s="2" t="str">
        <f aca="false">IF(K334="","Open",IF(K334&lt;=L334,"Yes","No"))</f>
        <v>No</v>
      </c>
    </row>
    <row r="335" customFormat="false" ht="15" hidden="false" customHeight="false" outlineLevel="0" collapsed="false">
      <c r="A335" s="2" t="s">
        <v>369</v>
      </c>
      <c r="B335" s="7" t="n">
        <v>46078.3840277778</v>
      </c>
      <c r="C335" s="7" t="n">
        <v>46078.9097222222</v>
      </c>
      <c r="D335" s="2" t="s">
        <v>48</v>
      </c>
      <c r="E335" s="2" t="s">
        <v>35</v>
      </c>
      <c r="F335" s="2" t="s">
        <v>27</v>
      </c>
      <c r="G335" s="2" t="s">
        <v>25</v>
      </c>
      <c r="H335" s="2" t="n">
        <v>4</v>
      </c>
      <c r="I335" s="2" t="str">
        <f aca="false">IF(C335="","Open","Resolved")</f>
        <v>Resolved</v>
      </c>
      <c r="J335" s="2" t="str">
        <f aca="false">TEXT(B335,"yyyy-mm")</f>
        <v>2026-02</v>
      </c>
      <c r="K335" s="8" t="n">
        <f aca="false">IF(C335="","",ROUND((C335-B335)*24,2))</f>
        <v>12.62</v>
      </c>
      <c r="L335" s="2" t="n">
        <f aca="false">INDEX('SLA Policy'!$B$2:$B$5,MATCH(E335,'SLA Policy'!$A$2:$A$5,0))</f>
        <v>24</v>
      </c>
      <c r="M335" s="2" t="str">
        <f aca="false">IF(K335="","Open",IF(K335&lt;=L335,"Yes","No"))</f>
        <v>Yes</v>
      </c>
    </row>
    <row r="336" customFormat="false" ht="15" hidden="false" customHeight="false" outlineLevel="0" collapsed="false">
      <c r="A336" s="2" t="s">
        <v>370</v>
      </c>
      <c r="B336" s="7" t="n">
        <v>46078.3881944444</v>
      </c>
      <c r="C336" s="7" t="n">
        <v>46078.9465277778</v>
      </c>
      <c r="D336" s="2" t="s">
        <v>42</v>
      </c>
      <c r="E336" s="2" t="s">
        <v>23</v>
      </c>
      <c r="F336" s="2" t="s">
        <v>28</v>
      </c>
      <c r="G336" s="2" t="s">
        <v>29</v>
      </c>
      <c r="H336" s="2" t="n">
        <v>4</v>
      </c>
      <c r="I336" s="2" t="str">
        <f aca="false">IF(C336="","Open","Resolved")</f>
        <v>Resolved</v>
      </c>
      <c r="J336" s="2" t="str">
        <f aca="false">TEXT(B336,"yyyy-mm")</f>
        <v>2026-02</v>
      </c>
      <c r="K336" s="8" t="n">
        <f aca="false">IF(C336="","",ROUND((C336-B336)*24,2))</f>
        <v>13.4</v>
      </c>
      <c r="L336" s="2" t="n">
        <f aca="false">INDEX('SLA Policy'!$B$2:$B$5,MATCH(E336,'SLA Policy'!$A$2:$A$5,0))</f>
        <v>8</v>
      </c>
      <c r="M336" s="2" t="str">
        <f aca="false">IF(K336="","Open",IF(K336&lt;=L336,"Yes","No"))</f>
        <v>No</v>
      </c>
    </row>
    <row r="337" customFormat="false" ht="15" hidden="false" customHeight="false" outlineLevel="0" collapsed="false">
      <c r="A337" s="2" t="s">
        <v>371</v>
      </c>
      <c r="B337" s="7" t="n">
        <v>46078.4152777778</v>
      </c>
      <c r="C337" s="7" t="n">
        <v>46080.7055555556</v>
      </c>
      <c r="D337" s="2" t="s">
        <v>42</v>
      </c>
      <c r="E337" s="2" t="s">
        <v>35</v>
      </c>
      <c r="F337" s="2" t="s">
        <v>24</v>
      </c>
      <c r="G337" s="2" t="s">
        <v>29</v>
      </c>
      <c r="H337" s="2" t="n">
        <v>4</v>
      </c>
      <c r="I337" s="2" t="str">
        <f aca="false">IF(C337="","Open","Resolved")</f>
        <v>Resolved</v>
      </c>
      <c r="J337" s="2" t="str">
        <f aca="false">TEXT(B337,"yyyy-mm")</f>
        <v>2026-02</v>
      </c>
      <c r="K337" s="8" t="n">
        <f aca="false">IF(C337="","",ROUND((C337-B337)*24,2))</f>
        <v>54.97</v>
      </c>
      <c r="L337" s="2" t="n">
        <f aca="false">INDEX('SLA Policy'!$B$2:$B$5,MATCH(E337,'SLA Policy'!$A$2:$A$5,0))</f>
        <v>24</v>
      </c>
      <c r="M337" s="2" t="str">
        <f aca="false">IF(K337="","Open",IF(K337&lt;=L337,"Yes","No"))</f>
        <v>No</v>
      </c>
    </row>
    <row r="338" customFormat="false" ht="15" hidden="false" customHeight="false" outlineLevel="0" collapsed="false">
      <c r="A338" s="2" t="s">
        <v>372</v>
      </c>
      <c r="B338" s="7" t="n">
        <v>46078.4715277778</v>
      </c>
      <c r="C338" s="7" t="n">
        <v>46079.93125</v>
      </c>
      <c r="D338" s="2" t="s">
        <v>22</v>
      </c>
      <c r="E338" s="2" t="s">
        <v>35</v>
      </c>
      <c r="F338" s="2" t="s">
        <v>27</v>
      </c>
      <c r="G338" s="2" t="s">
        <v>25</v>
      </c>
      <c r="H338" s="2" t="n">
        <v>5</v>
      </c>
      <c r="I338" s="2" t="str">
        <f aca="false">IF(C338="","Open","Resolved")</f>
        <v>Resolved</v>
      </c>
      <c r="J338" s="2" t="str">
        <f aca="false">TEXT(B338,"yyyy-mm")</f>
        <v>2026-02</v>
      </c>
      <c r="K338" s="8" t="n">
        <f aca="false">IF(C338="","",ROUND((C338-B338)*24,2))</f>
        <v>35.03</v>
      </c>
      <c r="L338" s="2" t="n">
        <f aca="false">INDEX('SLA Policy'!$B$2:$B$5,MATCH(E338,'SLA Policy'!$A$2:$A$5,0))</f>
        <v>24</v>
      </c>
      <c r="M338" s="2" t="str">
        <f aca="false">IF(K338="","Open",IF(K338&lt;=L338,"Yes","No"))</f>
        <v>No</v>
      </c>
    </row>
    <row r="339" customFormat="false" ht="15" hidden="false" customHeight="false" outlineLevel="0" collapsed="false">
      <c r="A339" s="2" t="s">
        <v>373</v>
      </c>
      <c r="B339" s="7" t="n">
        <v>46078.5131944444</v>
      </c>
      <c r="C339" s="7" t="n">
        <v>46078.6465277778</v>
      </c>
      <c r="D339" s="2" t="s">
        <v>22</v>
      </c>
      <c r="E339" s="2" t="s">
        <v>40</v>
      </c>
      <c r="F339" s="2" t="s">
        <v>38</v>
      </c>
      <c r="G339" s="2" t="s">
        <v>25</v>
      </c>
      <c r="H339" s="2" t="n">
        <v>5</v>
      </c>
      <c r="I339" s="2" t="str">
        <f aca="false">IF(C339="","Open","Resolved")</f>
        <v>Resolved</v>
      </c>
      <c r="J339" s="2" t="str">
        <f aca="false">TEXT(B339,"yyyy-mm")</f>
        <v>2026-02</v>
      </c>
      <c r="K339" s="8" t="n">
        <f aca="false">IF(C339="","",ROUND((C339-B339)*24,2))</f>
        <v>3.2</v>
      </c>
      <c r="L339" s="2" t="n">
        <f aca="false">INDEX('SLA Policy'!$B$2:$B$5,MATCH(E339,'SLA Policy'!$A$2:$A$5,0))</f>
        <v>4</v>
      </c>
      <c r="M339" s="2" t="str">
        <f aca="false">IF(K339="","Open",IF(K339&lt;=L339,"Yes","No"))</f>
        <v>Yes</v>
      </c>
    </row>
    <row r="340" customFormat="false" ht="15" hidden="false" customHeight="false" outlineLevel="0" collapsed="false">
      <c r="A340" s="2" t="s">
        <v>374</v>
      </c>
      <c r="B340" s="7" t="n">
        <v>46078.6034722222</v>
      </c>
      <c r="C340" s="7" t="n">
        <v>46079.3201388889</v>
      </c>
      <c r="D340" s="2" t="s">
        <v>31</v>
      </c>
      <c r="E340" s="2" t="s">
        <v>35</v>
      </c>
      <c r="F340" s="2" t="s">
        <v>27</v>
      </c>
      <c r="G340" s="2" t="s">
        <v>33</v>
      </c>
      <c r="H340" s="2" t="n">
        <v>5</v>
      </c>
      <c r="I340" s="2" t="str">
        <f aca="false">IF(C340="","Open","Resolved")</f>
        <v>Resolved</v>
      </c>
      <c r="J340" s="2" t="str">
        <f aca="false">TEXT(B340,"yyyy-mm")</f>
        <v>2026-02</v>
      </c>
      <c r="K340" s="8" t="n">
        <f aca="false">IF(C340="","",ROUND((C340-B340)*24,2))</f>
        <v>17.2</v>
      </c>
      <c r="L340" s="2" t="n">
        <f aca="false">INDEX('SLA Policy'!$B$2:$B$5,MATCH(E340,'SLA Policy'!$A$2:$A$5,0))</f>
        <v>24</v>
      </c>
      <c r="M340" s="2" t="str">
        <f aca="false">IF(K340="","Open",IF(K340&lt;=L340,"Yes","No"))</f>
        <v>Yes</v>
      </c>
    </row>
    <row r="341" customFormat="false" ht="15" hidden="false" customHeight="false" outlineLevel="0" collapsed="false">
      <c r="A341" s="2" t="s">
        <v>375</v>
      </c>
      <c r="B341" s="7" t="n">
        <v>46078.6548611111</v>
      </c>
      <c r="C341" s="7" t="n">
        <v>46079.2763888889</v>
      </c>
      <c r="D341" s="2" t="s">
        <v>42</v>
      </c>
      <c r="E341" s="2" t="s">
        <v>35</v>
      </c>
      <c r="F341" s="2" t="s">
        <v>24</v>
      </c>
      <c r="G341" s="2" t="s">
        <v>29</v>
      </c>
      <c r="H341" s="2" t="n">
        <v>4</v>
      </c>
      <c r="I341" s="2" t="str">
        <f aca="false">IF(C341="","Open","Resolved")</f>
        <v>Resolved</v>
      </c>
      <c r="J341" s="2" t="str">
        <f aca="false">TEXT(B341,"yyyy-mm")</f>
        <v>2026-02</v>
      </c>
      <c r="K341" s="8" t="n">
        <f aca="false">IF(C341="","",ROUND((C341-B341)*24,2))</f>
        <v>14.92</v>
      </c>
      <c r="L341" s="2" t="n">
        <f aca="false">INDEX('SLA Policy'!$B$2:$B$5,MATCH(E341,'SLA Policy'!$A$2:$A$5,0))</f>
        <v>24</v>
      </c>
      <c r="M341" s="2" t="str">
        <f aca="false">IF(K341="","Open",IF(K341&lt;=L341,"Yes","No"))</f>
        <v>Yes</v>
      </c>
    </row>
    <row r="342" customFormat="false" ht="15" hidden="false" customHeight="false" outlineLevel="0" collapsed="false">
      <c r="A342" s="2" t="s">
        <v>376</v>
      </c>
      <c r="B342" s="7" t="n">
        <v>46079.3965277778</v>
      </c>
      <c r="C342" s="7" t="n">
        <v>46080.4659722222</v>
      </c>
      <c r="D342" s="2" t="s">
        <v>27</v>
      </c>
      <c r="E342" s="2" t="s">
        <v>35</v>
      </c>
      <c r="F342" s="2" t="s">
        <v>27</v>
      </c>
      <c r="G342" s="2" t="s">
        <v>29</v>
      </c>
      <c r="H342" s="2" t="n">
        <v>4</v>
      </c>
      <c r="I342" s="2" t="str">
        <f aca="false">IF(C342="","Open","Resolved")</f>
        <v>Resolved</v>
      </c>
      <c r="J342" s="2" t="str">
        <f aca="false">TEXT(B342,"yyyy-mm")</f>
        <v>2026-02</v>
      </c>
      <c r="K342" s="8" t="n">
        <f aca="false">IF(C342="","",ROUND((C342-B342)*24,2))</f>
        <v>25.67</v>
      </c>
      <c r="L342" s="2" t="n">
        <f aca="false">INDEX('SLA Policy'!$B$2:$B$5,MATCH(E342,'SLA Policy'!$A$2:$A$5,0))</f>
        <v>24</v>
      </c>
      <c r="M342" s="2" t="str">
        <f aca="false">IF(K342="","Open",IF(K342&lt;=L342,"Yes","No"))</f>
        <v>No</v>
      </c>
    </row>
    <row r="343" customFormat="false" ht="15" hidden="false" customHeight="false" outlineLevel="0" collapsed="false">
      <c r="A343" s="2" t="s">
        <v>377</v>
      </c>
      <c r="B343" s="7" t="n">
        <v>46079.4270833333</v>
      </c>
      <c r="C343" s="7" t="n">
        <v>46079.6715277778</v>
      </c>
      <c r="D343" s="2" t="s">
        <v>31</v>
      </c>
      <c r="E343" s="2" t="s">
        <v>40</v>
      </c>
      <c r="F343" s="2" t="s">
        <v>28</v>
      </c>
      <c r="G343" s="2" t="s">
        <v>33</v>
      </c>
      <c r="H343" s="2" t="n">
        <v>4</v>
      </c>
      <c r="I343" s="2" t="str">
        <f aca="false">IF(C343="","Open","Resolved")</f>
        <v>Resolved</v>
      </c>
      <c r="J343" s="2" t="str">
        <f aca="false">TEXT(B343,"yyyy-mm")</f>
        <v>2026-02</v>
      </c>
      <c r="K343" s="8" t="n">
        <f aca="false">IF(C343="","",ROUND((C343-B343)*24,2))</f>
        <v>5.87</v>
      </c>
      <c r="L343" s="2" t="n">
        <f aca="false">INDEX('SLA Policy'!$B$2:$B$5,MATCH(E343,'SLA Policy'!$A$2:$A$5,0))</f>
        <v>4</v>
      </c>
      <c r="M343" s="2" t="str">
        <f aca="false">IF(K343="","Open",IF(K343&lt;=L343,"Yes","No"))</f>
        <v>No</v>
      </c>
    </row>
    <row r="344" customFormat="false" ht="15" hidden="false" customHeight="false" outlineLevel="0" collapsed="false">
      <c r="A344" s="2" t="s">
        <v>378</v>
      </c>
      <c r="B344" s="7" t="n">
        <v>46079.4611111111</v>
      </c>
      <c r="C344" s="7" t="n">
        <v>46079.7409722222</v>
      </c>
      <c r="D344" s="2" t="s">
        <v>42</v>
      </c>
      <c r="E344" s="2" t="s">
        <v>35</v>
      </c>
      <c r="F344" s="2" t="s">
        <v>38</v>
      </c>
      <c r="G344" s="2" t="s">
        <v>29</v>
      </c>
      <c r="H344" s="2" t="n">
        <v>5</v>
      </c>
      <c r="I344" s="2" t="str">
        <f aca="false">IF(C344="","Open","Resolved")</f>
        <v>Resolved</v>
      </c>
      <c r="J344" s="2" t="str">
        <f aca="false">TEXT(B344,"yyyy-mm")</f>
        <v>2026-02</v>
      </c>
      <c r="K344" s="8" t="n">
        <f aca="false">IF(C344="","",ROUND((C344-B344)*24,2))</f>
        <v>6.72</v>
      </c>
      <c r="L344" s="2" t="n">
        <f aca="false">INDEX('SLA Policy'!$B$2:$B$5,MATCH(E344,'SLA Policy'!$A$2:$A$5,0))</f>
        <v>24</v>
      </c>
      <c r="M344" s="2" t="str">
        <f aca="false">IF(K344="","Open",IF(K344&lt;=L344,"Yes","No"))</f>
        <v>Yes</v>
      </c>
    </row>
    <row r="345" customFormat="false" ht="15" hidden="false" customHeight="false" outlineLevel="0" collapsed="false">
      <c r="A345" s="2" t="s">
        <v>379</v>
      </c>
      <c r="B345" s="7" t="n">
        <v>46079.5173611111</v>
      </c>
      <c r="C345" s="7" t="n">
        <v>46080.6951388889</v>
      </c>
      <c r="D345" s="2" t="s">
        <v>22</v>
      </c>
      <c r="E345" s="2" t="s">
        <v>35</v>
      </c>
      <c r="F345" s="2" t="s">
        <v>38</v>
      </c>
      <c r="G345" s="2" t="s">
        <v>25</v>
      </c>
      <c r="H345" s="2" t="n">
        <v>3</v>
      </c>
      <c r="I345" s="2" t="str">
        <f aca="false">IF(C345="","Open","Resolved")</f>
        <v>Resolved</v>
      </c>
      <c r="J345" s="2" t="str">
        <f aca="false">TEXT(B345,"yyyy-mm")</f>
        <v>2026-02</v>
      </c>
      <c r="K345" s="8" t="n">
        <f aca="false">IF(C345="","",ROUND((C345-B345)*24,2))</f>
        <v>28.27</v>
      </c>
      <c r="L345" s="2" t="n">
        <f aca="false">INDEX('SLA Policy'!$B$2:$B$5,MATCH(E345,'SLA Policy'!$A$2:$A$5,0))</f>
        <v>24</v>
      </c>
      <c r="M345" s="2" t="str">
        <f aca="false">IF(K345="","Open",IF(K345&lt;=L345,"Yes","No"))</f>
        <v>No</v>
      </c>
    </row>
    <row r="346" customFormat="false" ht="15" hidden="false" customHeight="false" outlineLevel="0" collapsed="false">
      <c r="A346" s="2" t="s">
        <v>380</v>
      </c>
      <c r="B346" s="7" t="n">
        <v>46079.6527777778</v>
      </c>
      <c r="C346" s="7" t="n">
        <v>46081.7326388889</v>
      </c>
      <c r="D346" s="2" t="s">
        <v>42</v>
      </c>
      <c r="E346" s="2" t="s">
        <v>32</v>
      </c>
      <c r="F346" s="2" t="s">
        <v>38</v>
      </c>
      <c r="G346" s="2" t="s">
        <v>29</v>
      </c>
      <c r="H346" s="2" t="n">
        <v>5</v>
      </c>
      <c r="I346" s="2" t="str">
        <f aca="false">IF(C346="","Open","Resolved")</f>
        <v>Resolved</v>
      </c>
      <c r="J346" s="2" t="str">
        <f aca="false">TEXT(B346,"yyyy-mm")</f>
        <v>2026-02</v>
      </c>
      <c r="K346" s="8" t="n">
        <f aca="false">IF(C346="","",ROUND((C346-B346)*24,2))</f>
        <v>49.92</v>
      </c>
      <c r="L346" s="2" t="n">
        <f aca="false">INDEX('SLA Policy'!$B$2:$B$5,MATCH(E346,'SLA Policy'!$A$2:$A$5,0))</f>
        <v>72</v>
      </c>
      <c r="M346" s="2" t="str">
        <f aca="false">IF(K346="","Open",IF(K346&lt;=L346,"Yes","No"))</f>
        <v>Yes</v>
      </c>
    </row>
    <row r="347" customFormat="false" ht="15" hidden="false" customHeight="false" outlineLevel="0" collapsed="false">
      <c r="A347" s="2" t="s">
        <v>381</v>
      </c>
      <c r="B347" s="7" t="n">
        <v>46079.6715277778</v>
      </c>
      <c r="C347" s="7" t="n">
        <v>46079.8888888889</v>
      </c>
      <c r="D347" s="2" t="s">
        <v>27</v>
      </c>
      <c r="E347" s="2" t="s">
        <v>40</v>
      </c>
      <c r="F347" s="2" t="s">
        <v>27</v>
      </c>
      <c r="G347" s="2" t="s">
        <v>29</v>
      </c>
      <c r="H347" s="2" t="n">
        <v>5</v>
      </c>
      <c r="I347" s="2" t="str">
        <f aca="false">IF(C347="","Open","Resolved")</f>
        <v>Resolved</v>
      </c>
      <c r="J347" s="2" t="str">
        <f aca="false">TEXT(B347,"yyyy-mm")</f>
        <v>2026-02</v>
      </c>
      <c r="K347" s="8" t="n">
        <f aca="false">IF(C347="","",ROUND((C347-B347)*24,2))</f>
        <v>5.22</v>
      </c>
      <c r="L347" s="2" t="n">
        <f aca="false">INDEX('SLA Policy'!$B$2:$B$5,MATCH(E347,'SLA Policy'!$A$2:$A$5,0))</f>
        <v>4</v>
      </c>
      <c r="M347" s="2" t="str">
        <f aca="false">IF(K347="","Open",IF(K347&lt;=L347,"Yes","No"))</f>
        <v>No</v>
      </c>
    </row>
    <row r="348" customFormat="false" ht="15" hidden="false" customHeight="false" outlineLevel="0" collapsed="false">
      <c r="A348" s="2" t="s">
        <v>382</v>
      </c>
      <c r="B348" s="7" t="n">
        <v>46079.6930555556</v>
      </c>
      <c r="C348" s="7" t="n">
        <v>46082.6868055556</v>
      </c>
      <c r="D348" s="2" t="s">
        <v>22</v>
      </c>
      <c r="E348" s="2" t="s">
        <v>32</v>
      </c>
      <c r="F348" s="2" t="s">
        <v>38</v>
      </c>
      <c r="G348" s="2" t="s">
        <v>25</v>
      </c>
      <c r="H348" s="2" t="n">
        <v>3</v>
      </c>
      <c r="I348" s="2" t="str">
        <f aca="false">IF(C348="","Open","Resolved")</f>
        <v>Resolved</v>
      </c>
      <c r="J348" s="2" t="str">
        <f aca="false">TEXT(B348,"yyyy-mm")</f>
        <v>2026-02</v>
      </c>
      <c r="K348" s="8" t="n">
        <f aca="false">IF(C348="","",ROUND((C348-B348)*24,2))</f>
        <v>71.85</v>
      </c>
      <c r="L348" s="2" t="n">
        <f aca="false">INDEX('SLA Policy'!$B$2:$B$5,MATCH(E348,'SLA Policy'!$A$2:$A$5,0))</f>
        <v>72</v>
      </c>
      <c r="M348" s="2" t="str">
        <f aca="false">IF(K348="","Open",IF(K348&lt;=L348,"Yes","No"))</f>
        <v>Yes</v>
      </c>
    </row>
    <row r="349" customFormat="false" ht="15" hidden="false" customHeight="false" outlineLevel="0" collapsed="false">
      <c r="A349" s="2" t="s">
        <v>383</v>
      </c>
      <c r="B349" s="7" t="n">
        <v>46079.7743055556</v>
      </c>
      <c r="C349" s="7" t="n">
        <v>46081.6284722222</v>
      </c>
      <c r="D349" s="2" t="s">
        <v>48</v>
      </c>
      <c r="E349" s="2" t="s">
        <v>35</v>
      </c>
      <c r="F349" s="2" t="s">
        <v>38</v>
      </c>
      <c r="G349" s="2" t="s">
        <v>25</v>
      </c>
      <c r="H349" s="2" t="n">
        <v>4</v>
      </c>
      <c r="I349" s="2" t="str">
        <f aca="false">IF(C349="","Open","Resolved")</f>
        <v>Resolved</v>
      </c>
      <c r="J349" s="2" t="str">
        <f aca="false">TEXT(B349,"yyyy-mm")</f>
        <v>2026-02</v>
      </c>
      <c r="K349" s="8" t="n">
        <f aca="false">IF(C349="","",ROUND((C349-B349)*24,2))</f>
        <v>44.5</v>
      </c>
      <c r="L349" s="2" t="n">
        <f aca="false">INDEX('SLA Policy'!$B$2:$B$5,MATCH(E349,'SLA Policy'!$A$2:$A$5,0))</f>
        <v>24</v>
      </c>
      <c r="M349" s="2" t="str">
        <f aca="false">IF(K349="","Open",IF(K349&lt;=L349,"Yes","No"))</f>
        <v>No</v>
      </c>
    </row>
    <row r="350" customFormat="false" ht="15" hidden="false" customHeight="false" outlineLevel="0" collapsed="false">
      <c r="A350" s="2" t="s">
        <v>384</v>
      </c>
      <c r="B350" s="7" t="n">
        <v>46080.3625</v>
      </c>
      <c r="C350" s="7" t="n">
        <v>46081.6423611111</v>
      </c>
      <c r="D350" s="2" t="s">
        <v>22</v>
      </c>
      <c r="E350" s="2" t="s">
        <v>35</v>
      </c>
      <c r="F350" s="2" t="s">
        <v>28</v>
      </c>
      <c r="G350" s="2" t="s">
        <v>25</v>
      </c>
      <c r="H350" s="2" t="n">
        <v>4</v>
      </c>
      <c r="I350" s="2" t="str">
        <f aca="false">IF(C350="","Open","Resolved")</f>
        <v>Resolved</v>
      </c>
      <c r="J350" s="2" t="str">
        <f aca="false">TEXT(B350,"yyyy-mm")</f>
        <v>2026-02</v>
      </c>
      <c r="K350" s="8" t="n">
        <f aca="false">IF(C350="","",ROUND((C350-B350)*24,2))</f>
        <v>30.72</v>
      </c>
      <c r="L350" s="2" t="n">
        <f aca="false">INDEX('SLA Policy'!$B$2:$B$5,MATCH(E350,'SLA Policy'!$A$2:$A$5,0))</f>
        <v>24</v>
      </c>
      <c r="M350" s="2" t="str">
        <f aca="false">IF(K350="","Open",IF(K350&lt;=L350,"Yes","No"))</f>
        <v>No</v>
      </c>
    </row>
    <row r="351" customFormat="false" ht="15" hidden="false" customHeight="false" outlineLevel="0" collapsed="false">
      <c r="A351" s="2" t="s">
        <v>385</v>
      </c>
      <c r="B351" s="7" t="n">
        <v>46080.4326388889</v>
      </c>
      <c r="C351" s="7" t="n">
        <v>46081.3805555556</v>
      </c>
      <c r="D351" s="2" t="s">
        <v>27</v>
      </c>
      <c r="E351" s="2" t="s">
        <v>32</v>
      </c>
      <c r="F351" s="2" t="s">
        <v>24</v>
      </c>
      <c r="G351" s="2" t="s">
        <v>29</v>
      </c>
      <c r="H351" s="2" t="n">
        <v>4</v>
      </c>
      <c r="I351" s="2" t="str">
        <f aca="false">IF(C351="","Open","Resolved")</f>
        <v>Resolved</v>
      </c>
      <c r="J351" s="2" t="str">
        <f aca="false">TEXT(B351,"yyyy-mm")</f>
        <v>2026-02</v>
      </c>
      <c r="K351" s="8" t="n">
        <f aca="false">IF(C351="","",ROUND((C351-B351)*24,2))</f>
        <v>22.75</v>
      </c>
      <c r="L351" s="2" t="n">
        <f aca="false">INDEX('SLA Policy'!$B$2:$B$5,MATCH(E351,'SLA Policy'!$A$2:$A$5,0))</f>
        <v>72</v>
      </c>
      <c r="M351" s="2" t="str">
        <f aca="false">IF(K351="","Open",IF(K351&lt;=L351,"Yes","No"))</f>
        <v>Yes</v>
      </c>
    </row>
    <row r="352" customFormat="false" ht="15" hidden="false" customHeight="false" outlineLevel="0" collapsed="false">
      <c r="A352" s="2" t="s">
        <v>386</v>
      </c>
      <c r="B352" s="7" t="n">
        <v>46080.4993055556</v>
      </c>
      <c r="C352" s="7" t="n">
        <v>46080.8180555556</v>
      </c>
      <c r="D352" s="2" t="s">
        <v>42</v>
      </c>
      <c r="E352" s="2" t="s">
        <v>35</v>
      </c>
      <c r="F352" s="2" t="s">
        <v>24</v>
      </c>
      <c r="G352" s="2" t="s">
        <v>29</v>
      </c>
      <c r="H352" s="2" t="n">
        <v>5</v>
      </c>
      <c r="I352" s="2" t="str">
        <f aca="false">IF(C352="","Open","Resolved")</f>
        <v>Resolved</v>
      </c>
      <c r="J352" s="2" t="str">
        <f aca="false">TEXT(B352,"yyyy-mm")</f>
        <v>2026-02</v>
      </c>
      <c r="K352" s="8" t="n">
        <f aca="false">IF(C352="","",ROUND((C352-B352)*24,2))</f>
        <v>7.65</v>
      </c>
      <c r="L352" s="2" t="n">
        <f aca="false">INDEX('SLA Policy'!$B$2:$B$5,MATCH(E352,'SLA Policy'!$A$2:$A$5,0))</f>
        <v>24</v>
      </c>
      <c r="M352" s="2" t="str">
        <f aca="false">IF(K352="","Open",IF(K352&lt;=L352,"Yes","No"))</f>
        <v>Yes</v>
      </c>
    </row>
    <row r="353" customFormat="false" ht="15" hidden="false" customHeight="false" outlineLevel="0" collapsed="false">
      <c r="A353" s="2" t="s">
        <v>387</v>
      </c>
      <c r="B353" s="7" t="n">
        <v>46080.5284722222</v>
      </c>
      <c r="C353" s="7" t="n">
        <v>46083.1666666667</v>
      </c>
      <c r="D353" s="2" t="s">
        <v>31</v>
      </c>
      <c r="E353" s="2" t="s">
        <v>32</v>
      </c>
      <c r="F353" s="2" t="s">
        <v>28</v>
      </c>
      <c r="G353" s="2" t="s">
        <v>33</v>
      </c>
      <c r="H353" s="2" t="n">
        <v>2</v>
      </c>
      <c r="I353" s="2" t="str">
        <f aca="false">IF(C353="","Open","Resolved")</f>
        <v>Resolved</v>
      </c>
      <c r="J353" s="2" t="str">
        <f aca="false">TEXT(B353,"yyyy-mm")</f>
        <v>2026-02</v>
      </c>
      <c r="K353" s="8" t="n">
        <f aca="false">IF(C353="","",ROUND((C353-B353)*24,2))</f>
        <v>63.32</v>
      </c>
      <c r="L353" s="2" t="n">
        <f aca="false">INDEX('SLA Policy'!$B$2:$B$5,MATCH(E353,'SLA Policy'!$A$2:$A$5,0))</f>
        <v>72</v>
      </c>
      <c r="M353" s="2" t="str">
        <f aca="false">IF(K353="","Open",IF(K353&lt;=L353,"Yes","No"))</f>
        <v>Yes</v>
      </c>
    </row>
    <row r="354" customFormat="false" ht="15" hidden="false" customHeight="false" outlineLevel="0" collapsed="false">
      <c r="A354" s="2" t="s">
        <v>388</v>
      </c>
      <c r="B354" s="7" t="n">
        <v>46080.5305555556</v>
      </c>
      <c r="C354" s="7" t="n">
        <v>46080.9451388889</v>
      </c>
      <c r="D354" s="2" t="s">
        <v>27</v>
      </c>
      <c r="E354" s="2" t="s">
        <v>32</v>
      </c>
      <c r="F354" s="2" t="s">
        <v>27</v>
      </c>
      <c r="G354" s="2" t="s">
        <v>29</v>
      </c>
      <c r="H354" s="2" t="n">
        <v>4</v>
      </c>
      <c r="I354" s="2" t="str">
        <f aca="false">IF(C354="","Open","Resolved")</f>
        <v>Resolved</v>
      </c>
      <c r="J354" s="2" t="str">
        <f aca="false">TEXT(B354,"yyyy-mm")</f>
        <v>2026-02</v>
      </c>
      <c r="K354" s="8" t="n">
        <f aca="false">IF(C354="","",ROUND((C354-B354)*24,2))</f>
        <v>9.95</v>
      </c>
      <c r="L354" s="2" t="n">
        <f aca="false">INDEX('SLA Policy'!$B$2:$B$5,MATCH(E354,'SLA Policy'!$A$2:$A$5,0))</f>
        <v>72</v>
      </c>
      <c r="M354" s="2" t="str">
        <f aca="false">IF(K354="","Open",IF(K354&lt;=L354,"Yes","No"))</f>
        <v>Yes</v>
      </c>
    </row>
    <row r="355" customFormat="false" ht="15" hidden="false" customHeight="false" outlineLevel="0" collapsed="false">
      <c r="A355" s="2" t="s">
        <v>389</v>
      </c>
      <c r="B355" s="7" t="n">
        <v>46080.6083333333</v>
      </c>
      <c r="C355" s="7" t="n">
        <v>46081.5409722222</v>
      </c>
      <c r="D355" s="2" t="s">
        <v>31</v>
      </c>
      <c r="E355" s="2" t="s">
        <v>35</v>
      </c>
      <c r="F355" s="2" t="s">
        <v>27</v>
      </c>
      <c r="G355" s="2" t="s">
        <v>33</v>
      </c>
      <c r="H355" s="2" t="n">
        <v>5</v>
      </c>
      <c r="I355" s="2" t="str">
        <f aca="false">IF(C355="","Open","Resolved")</f>
        <v>Resolved</v>
      </c>
      <c r="J355" s="2" t="str">
        <f aca="false">TEXT(B355,"yyyy-mm")</f>
        <v>2026-02</v>
      </c>
      <c r="K355" s="8" t="n">
        <f aca="false">IF(C355="","",ROUND((C355-B355)*24,2))</f>
        <v>22.38</v>
      </c>
      <c r="L355" s="2" t="n">
        <f aca="false">INDEX('SLA Policy'!$B$2:$B$5,MATCH(E355,'SLA Policy'!$A$2:$A$5,0))</f>
        <v>24</v>
      </c>
      <c r="M355" s="2" t="str">
        <f aca="false">IF(K355="","Open",IF(K355&lt;=L355,"Yes","No"))</f>
        <v>Yes</v>
      </c>
    </row>
    <row r="356" customFormat="false" ht="15" hidden="false" customHeight="false" outlineLevel="0" collapsed="false">
      <c r="A356" s="2" t="s">
        <v>390</v>
      </c>
      <c r="B356" s="7" t="n">
        <v>46080.6840277778</v>
      </c>
      <c r="C356" s="7" t="n">
        <v>46081.4430555556</v>
      </c>
      <c r="D356" s="2" t="s">
        <v>22</v>
      </c>
      <c r="E356" s="2" t="s">
        <v>35</v>
      </c>
      <c r="F356" s="2" t="s">
        <v>28</v>
      </c>
      <c r="G356" s="2" t="s">
        <v>25</v>
      </c>
      <c r="H356" s="2" t="n">
        <v>5</v>
      </c>
      <c r="I356" s="2" t="str">
        <f aca="false">IF(C356="","Open","Resolved")</f>
        <v>Resolved</v>
      </c>
      <c r="J356" s="2" t="str">
        <f aca="false">TEXT(B356,"yyyy-mm")</f>
        <v>2026-02</v>
      </c>
      <c r="K356" s="8" t="n">
        <f aca="false">IF(C356="","",ROUND((C356-B356)*24,2))</f>
        <v>18.22</v>
      </c>
      <c r="L356" s="2" t="n">
        <f aca="false">INDEX('SLA Policy'!$B$2:$B$5,MATCH(E356,'SLA Policy'!$A$2:$A$5,0))</f>
        <v>24</v>
      </c>
      <c r="M356" s="2" t="str">
        <f aca="false">IF(K356="","Open",IF(K356&lt;=L356,"Yes","No"))</f>
        <v>Yes</v>
      </c>
    </row>
    <row r="357" customFormat="false" ht="15" hidden="false" customHeight="false" outlineLevel="0" collapsed="false">
      <c r="A357" s="2" t="s">
        <v>391</v>
      </c>
      <c r="B357" s="7" t="n">
        <v>46081.55625</v>
      </c>
      <c r="C357" s="7" t="n">
        <v>46082.1756944444</v>
      </c>
      <c r="D357" s="2" t="s">
        <v>22</v>
      </c>
      <c r="E357" s="2" t="s">
        <v>23</v>
      </c>
      <c r="F357" s="2" t="s">
        <v>24</v>
      </c>
      <c r="G357" s="2" t="s">
        <v>25</v>
      </c>
      <c r="H357" s="2" t="n">
        <v>4</v>
      </c>
      <c r="I357" s="2" t="str">
        <f aca="false">IF(C357="","Open","Resolved")</f>
        <v>Resolved</v>
      </c>
      <c r="J357" s="2" t="str">
        <f aca="false">TEXT(B357,"yyyy-mm")</f>
        <v>2026-02</v>
      </c>
      <c r="K357" s="8" t="n">
        <f aca="false">IF(C357="","",ROUND((C357-B357)*24,2))</f>
        <v>14.87</v>
      </c>
      <c r="L357" s="2" t="n">
        <f aca="false">INDEX('SLA Policy'!$B$2:$B$5,MATCH(E357,'SLA Policy'!$A$2:$A$5,0))</f>
        <v>8</v>
      </c>
      <c r="M357" s="2" t="str">
        <f aca="false">IF(K357="","Open",IF(K357&lt;=L357,"Yes","No"))</f>
        <v>No</v>
      </c>
    </row>
    <row r="358" customFormat="false" ht="15" hidden="false" customHeight="false" outlineLevel="0" collapsed="false">
      <c r="A358" s="2" t="s">
        <v>392</v>
      </c>
      <c r="B358" s="7" t="n">
        <v>46081.5763888889</v>
      </c>
      <c r="C358" s="7" t="n">
        <v>46082.5041666667</v>
      </c>
      <c r="D358" s="2" t="s">
        <v>31</v>
      </c>
      <c r="E358" s="2" t="s">
        <v>35</v>
      </c>
      <c r="F358" s="2" t="s">
        <v>27</v>
      </c>
      <c r="G358" s="2" t="s">
        <v>33</v>
      </c>
      <c r="H358" s="2" t="n">
        <v>3</v>
      </c>
      <c r="I358" s="2" t="str">
        <f aca="false">IF(C358="","Open","Resolved")</f>
        <v>Resolved</v>
      </c>
      <c r="J358" s="2" t="str">
        <f aca="false">TEXT(B358,"yyyy-mm")</f>
        <v>2026-02</v>
      </c>
      <c r="K358" s="8" t="n">
        <f aca="false">IF(C358="","",ROUND((C358-B358)*24,2))</f>
        <v>22.27</v>
      </c>
      <c r="L358" s="2" t="n">
        <f aca="false">INDEX('SLA Policy'!$B$2:$B$5,MATCH(E358,'SLA Policy'!$A$2:$A$5,0))</f>
        <v>24</v>
      </c>
      <c r="M358" s="2" t="str">
        <f aca="false">IF(K358="","Open",IF(K358&lt;=L358,"Yes","No"))</f>
        <v>Yes</v>
      </c>
    </row>
    <row r="359" customFormat="false" ht="15" hidden="false" customHeight="false" outlineLevel="0" collapsed="false">
      <c r="A359" s="2" t="s">
        <v>393</v>
      </c>
      <c r="B359" s="7" t="n">
        <v>46081.6979166667</v>
      </c>
      <c r="C359" s="7" t="n">
        <v>46082.4104166667</v>
      </c>
      <c r="D359" s="2" t="s">
        <v>42</v>
      </c>
      <c r="E359" s="2" t="s">
        <v>35</v>
      </c>
      <c r="F359" s="2" t="s">
        <v>38</v>
      </c>
      <c r="G359" s="2" t="s">
        <v>29</v>
      </c>
      <c r="H359" s="2" t="n">
        <v>3</v>
      </c>
      <c r="I359" s="2" t="str">
        <f aca="false">IF(C359="","Open","Resolved")</f>
        <v>Resolved</v>
      </c>
      <c r="J359" s="2" t="str">
        <f aca="false">TEXT(B359,"yyyy-mm")</f>
        <v>2026-02</v>
      </c>
      <c r="K359" s="8" t="n">
        <f aca="false">IF(C359="","",ROUND((C359-B359)*24,2))</f>
        <v>17.1</v>
      </c>
      <c r="L359" s="2" t="n">
        <f aca="false">INDEX('SLA Policy'!$B$2:$B$5,MATCH(E359,'SLA Policy'!$A$2:$A$5,0))</f>
        <v>24</v>
      </c>
      <c r="M359" s="2" t="str">
        <f aca="false">IF(K359="","Open",IF(K359&lt;=L359,"Yes","No"))</f>
        <v>Yes</v>
      </c>
    </row>
    <row r="360" customFormat="false" ht="15" hidden="false" customHeight="false" outlineLevel="0" collapsed="false">
      <c r="A360" s="2" t="s">
        <v>394</v>
      </c>
      <c r="B360" s="7" t="n">
        <v>46081.7895833333</v>
      </c>
      <c r="C360" s="7" t="n">
        <v>46083.9097222222</v>
      </c>
      <c r="D360" s="2" t="s">
        <v>22</v>
      </c>
      <c r="E360" s="2" t="s">
        <v>35</v>
      </c>
      <c r="F360" s="2" t="s">
        <v>38</v>
      </c>
      <c r="G360" s="2" t="s">
        <v>25</v>
      </c>
      <c r="H360" s="2" t="n">
        <v>2</v>
      </c>
      <c r="I360" s="2" t="str">
        <f aca="false">IF(C360="","Open","Resolved")</f>
        <v>Resolved</v>
      </c>
      <c r="J360" s="2" t="str">
        <f aca="false">TEXT(B360,"yyyy-mm")</f>
        <v>2026-02</v>
      </c>
      <c r="K360" s="8" t="n">
        <f aca="false">IF(C360="","",ROUND((C360-B360)*24,2))</f>
        <v>50.88</v>
      </c>
      <c r="L360" s="2" t="n">
        <f aca="false">INDEX('SLA Policy'!$B$2:$B$5,MATCH(E360,'SLA Policy'!$A$2:$A$5,0))</f>
        <v>24</v>
      </c>
      <c r="M360" s="2" t="str">
        <f aca="false">IF(K360="","Open",IF(K360&lt;=L360,"Yes","No"))</f>
        <v>No</v>
      </c>
    </row>
    <row r="361" customFormat="false" ht="15" hidden="false" customHeight="false" outlineLevel="0" collapsed="false">
      <c r="A361" s="2" t="s">
        <v>395</v>
      </c>
      <c r="B361" s="7" t="n">
        <v>46082.3347222222</v>
      </c>
      <c r="C361" s="7" t="n">
        <v>46082.6527777778</v>
      </c>
      <c r="D361" s="2" t="s">
        <v>42</v>
      </c>
      <c r="E361" s="2" t="s">
        <v>35</v>
      </c>
      <c r="F361" s="2" t="s">
        <v>27</v>
      </c>
      <c r="G361" s="2" t="s">
        <v>29</v>
      </c>
      <c r="H361" s="2" t="n">
        <v>4</v>
      </c>
      <c r="I361" s="2" t="str">
        <f aca="false">IF(C361="","Open","Resolved")</f>
        <v>Resolved</v>
      </c>
      <c r="J361" s="2" t="str">
        <f aca="false">TEXT(B361,"yyyy-mm")</f>
        <v>2026-03</v>
      </c>
      <c r="K361" s="8" t="n">
        <f aca="false">IF(C361="","",ROUND((C361-B361)*24,2))</f>
        <v>7.63</v>
      </c>
      <c r="L361" s="2" t="n">
        <f aca="false">INDEX('SLA Policy'!$B$2:$B$5,MATCH(E361,'SLA Policy'!$A$2:$A$5,0))</f>
        <v>24</v>
      </c>
      <c r="M361" s="2" t="str">
        <f aca="false">IF(K361="","Open",IF(K361&lt;=L361,"Yes","No"))</f>
        <v>Yes</v>
      </c>
    </row>
    <row r="362" customFormat="false" ht="15" hidden="false" customHeight="false" outlineLevel="0" collapsed="false">
      <c r="A362" s="2" t="s">
        <v>396</v>
      </c>
      <c r="B362" s="7" t="n">
        <v>46082.54375</v>
      </c>
      <c r="C362" s="7" t="n">
        <v>46082.8548611111</v>
      </c>
      <c r="D362" s="2" t="s">
        <v>22</v>
      </c>
      <c r="E362" s="2" t="s">
        <v>40</v>
      </c>
      <c r="F362" s="2" t="s">
        <v>38</v>
      </c>
      <c r="G362" s="2" t="s">
        <v>25</v>
      </c>
      <c r="H362" s="2" t="n">
        <v>4</v>
      </c>
      <c r="I362" s="2" t="str">
        <f aca="false">IF(C362="","Open","Resolved")</f>
        <v>Resolved</v>
      </c>
      <c r="J362" s="2" t="str">
        <f aca="false">TEXT(B362,"yyyy-mm")</f>
        <v>2026-03</v>
      </c>
      <c r="K362" s="8" t="n">
        <f aca="false">IF(C362="","",ROUND((C362-B362)*24,2))</f>
        <v>7.47</v>
      </c>
      <c r="L362" s="2" t="n">
        <f aca="false">INDEX('SLA Policy'!$B$2:$B$5,MATCH(E362,'SLA Policy'!$A$2:$A$5,0))</f>
        <v>4</v>
      </c>
      <c r="M362" s="2" t="str">
        <f aca="false">IF(K362="","Open",IF(K362&lt;=L362,"Yes","No"))</f>
        <v>No</v>
      </c>
    </row>
    <row r="363" customFormat="false" ht="15" hidden="false" customHeight="false" outlineLevel="0" collapsed="false">
      <c r="A363" s="2" t="s">
        <v>397</v>
      </c>
      <c r="B363" s="7" t="n">
        <v>46082.5840277778</v>
      </c>
      <c r="C363" s="7" t="n">
        <v>46083.2986111111</v>
      </c>
      <c r="D363" s="2" t="s">
        <v>27</v>
      </c>
      <c r="E363" s="2" t="s">
        <v>35</v>
      </c>
      <c r="F363" s="2" t="s">
        <v>27</v>
      </c>
      <c r="G363" s="2" t="s">
        <v>29</v>
      </c>
      <c r="H363" s="2" t="n">
        <v>4</v>
      </c>
      <c r="I363" s="2" t="str">
        <f aca="false">IF(C363="","Open","Resolved")</f>
        <v>Resolved</v>
      </c>
      <c r="J363" s="2" t="str">
        <f aca="false">TEXT(B363,"yyyy-mm")</f>
        <v>2026-03</v>
      </c>
      <c r="K363" s="8" t="n">
        <f aca="false">IF(C363="","",ROUND((C363-B363)*24,2))</f>
        <v>17.15</v>
      </c>
      <c r="L363" s="2" t="n">
        <f aca="false">INDEX('SLA Policy'!$B$2:$B$5,MATCH(E363,'SLA Policy'!$A$2:$A$5,0))</f>
        <v>24</v>
      </c>
      <c r="M363" s="2" t="str">
        <f aca="false">IF(K363="","Open",IF(K363&lt;=L363,"Yes","No"))</f>
        <v>Yes</v>
      </c>
    </row>
    <row r="364" customFormat="false" ht="15" hidden="false" customHeight="false" outlineLevel="0" collapsed="false">
      <c r="A364" s="2" t="s">
        <v>398</v>
      </c>
      <c r="B364" s="7" t="n">
        <v>46083.3368055556</v>
      </c>
      <c r="C364" s="7" t="n">
        <v>46084.4409722222</v>
      </c>
      <c r="D364" s="2" t="s">
        <v>22</v>
      </c>
      <c r="E364" s="2" t="s">
        <v>35</v>
      </c>
      <c r="F364" s="2" t="s">
        <v>28</v>
      </c>
      <c r="G364" s="2" t="s">
        <v>25</v>
      </c>
      <c r="H364" s="2" t="n">
        <v>4</v>
      </c>
      <c r="I364" s="2" t="str">
        <f aca="false">IF(C364="","Open","Resolved")</f>
        <v>Resolved</v>
      </c>
      <c r="J364" s="2" t="str">
        <f aca="false">TEXT(B364,"yyyy-mm")</f>
        <v>2026-03</v>
      </c>
      <c r="K364" s="8" t="n">
        <f aca="false">IF(C364="","",ROUND((C364-B364)*24,2))</f>
        <v>26.5</v>
      </c>
      <c r="L364" s="2" t="n">
        <f aca="false">INDEX('SLA Policy'!$B$2:$B$5,MATCH(E364,'SLA Policy'!$A$2:$A$5,0))</f>
        <v>24</v>
      </c>
      <c r="M364" s="2" t="str">
        <f aca="false">IF(K364="","Open",IF(K364&lt;=L364,"Yes","No"))</f>
        <v>No</v>
      </c>
    </row>
    <row r="365" customFormat="false" ht="15" hidden="false" customHeight="false" outlineLevel="0" collapsed="false">
      <c r="A365" s="2" t="s">
        <v>399</v>
      </c>
      <c r="B365" s="7" t="n">
        <v>46083.4055555556</v>
      </c>
      <c r="C365" s="7" t="n">
        <v>46084.6673611111</v>
      </c>
      <c r="D365" s="2" t="s">
        <v>31</v>
      </c>
      <c r="E365" s="2" t="s">
        <v>32</v>
      </c>
      <c r="F365" s="2" t="s">
        <v>38</v>
      </c>
      <c r="G365" s="2" t="s">
        <v>33</v>
      </c>
      <c r="H365" s="2" t="n">
        <v>5</v>
      </c>
      <c r="I365" s="2" t="str">
        <f aca="false">IF(C365="","Open","Resolved")</f>
        <v>Resolved</v>
      </c>
      <c r="J365" s="2" t="str">
        <f aca="false">TEXT(B365,"yyyy-mm")</f>
        <v>2026-03</v>
      </c>
      <c r="K365" s="8" t="n">
        <f aca="false">IF(C365="","",ROUND((C365-B365)*24,2))</f>
        <v>30.28</v>
      </c>
      <c r="L365" s="2" t="n">
        <f aca="false">INDEX('SLA Policy'!$B$2:$B$5,MATCH(E365,'SLA Policy'!$A$2:$A$5,0))</f>
        <v>72</v>
      </c>
      <c r="M365" s="2" t="str">
        <f aca="false">IF(K365="","Open",IF(K365&lt;=L365,"Yes","No"))</f>
        <v>Yes</v>
      </c>
    </row>
    <row r="366" customFormat="false" ht="15" hidden="false" customHeight="false" outlineLevel="0" collapsed="false">
      <c r="A366" s="2" t="s">
        <v>400</v>
      </c>
      <c r="B366" s="7" t="n">
        <v>46083.4201388889</v>
      </c>
      <c r="C366" s="7" t="n">
        <v>46085.1701388889</v>
      </c>
      <c r="D366" s="2" t="s">
        <v>22</v>
      </c>
      <c r="E366" s="2" t="s">
        <v>35</v>
      </c>
      <c r="F366" s="2" t="s">
        <v>24</v>
      </c>
      <c r="G366" s="2" t="s">
        <v>25</v>
      </c>
      <c r="H366" s="2" t="n">
        <v>2</v>
      </c>
      <c r="I366" s="2" t="str">
        <f aca="false">IF(C366="","Open","Resolved")</f>
        <v>Resolved</v>
      </c>
      <c r="J366" s="2" t="str">
        <f aca="false">TEXT(B366,"yyyy-mm")</f>
        <v>2026-03</v>
      </c>
      <c r="K366" s="8" t="n">
        <f aca="false">IF(C366="","",ROUND((C366-B366)*24,2))</f>
        <v>42</v>
      </c>
      <c r="L366" s="2" t="n">
        <f aca="false">INDEX('SLA Policy'!$B$2:$B$5,MATCH(E366,'SLA Policy'!$A$2:$A$5,0))</f>
        <v>24</v>
      </c>
      <c r="M366" s="2" t="str">
        <f aca="false">IF(K366="","Open",IF(K366&lt;=L366,"Yes","No"))</f>
        <v>No</v>
      </c>
    </row>
    <row r="367" customFormat="false" ht="15" hidden="false" customHeight="false" outlineLevel="0" collapsed="false">
      <c r="A367" s="2" t="s">
        <v>401</v>
      </c>
      <c r="B367" s="7" t="n">
        <v>46083.4458333333</v>
      </c>
      <c r="C367" s="7" t="n">
        <v>46084.11875</v>
      </c>
      <c r="D367" s="2" t="s">
        <v>22</v>
      </c>
      <c r="E367" s="2" t="s">
        <v>23</v>
      </c>
      <c r="F367" s="2" t="s">
        <v>27</v>
      </c>
      <c r="G367" s="2" t="s">
        <v>25</v>
      </c>
      <c r="H367" s="2" t="n">
        <v>5</v>
      </c>
      <c r="I367" s="2" t="str">
        <f aca="false">IF(C367="","Open","Resolved")</f>
        <v>Resolved</v>
      </c>
      <c r="J367" s="2" t="str">
        <f aca="false">TEXT(B367,"yyyy-mm")</f>
        <v>2026-03</v>
      </c>
      <c r="K367" s="8" t="n">
        <f aca="false">IF(C367="","",ROUND((C367-B367)*24,2))</f>
        <v>16.15</v>
      </c>
      <c r="L367" s="2" t="n">
        <f aca="false">INDEX('SLA Policy'!$B$2:$B$5,MATCH(E367,'SLA Policy'!$A$2:$A$5,0))</f>
        <v>8</v>
      </c>
      <c r="M367" s="2" t="str">
        <f aca="false">IF(K367="","Open",IF(K367&lt;=L367,"Yes","No"))</f>
        <v>No</v>
      </c>
    </row>
    <row r="368" customFormat="false" ht="15" hidden="false" customHeight="false" outlineLevel="0" collapsed="false">
      <c r="A368" s="2" t="s">
        <v>402</v>
      </c>
      <c r="B368" s="7" t="n">
        <v>46083.5131944444</v>
      </c>
      <c r="C368" s="7" t="n">
        <v>46084.4006944444</v>
      </c>
      <c r="D368" s="2" t="s">
        <v>31</v>
      </c>
      <c r="E368" s="2" t="s">
        <v>35</v>
      </c>
      <c r="F368" s="2" t="s">
        <v>24</v>
      </c>
      <c r="G368" s="2" t="s">
        <v>33</v>
      </c>
      <c r="H368" s="2" t="n">
        <v>4</v>
      </c>
      <c r="I368" s="2" t="str">
        <f aca="false">IF(C368="","Open","Resolved")</f>
        <v>Resolved</v>
      </c>
      <c r="J368" s="2" t="str">
        <f aca="false">TEXT(B368,"yyyy-mm")</f>
        <v>2026-03</v>
      </c>
      <c r="K368" s="8" t="n">
        <f aca="false">IF(C368="","",ROUND((C368-B368)*24,2))</f>
        <v>21.3</v>
      </c>
      <c r="L368" s="2" t="n">
        <f aca="false">INDEX('SLA Policy'!$B$2:$B$5,MATCH(E368,'SLA Policy'!$A$2:$A$5,0))</f>
        <v>24</v>
      </c>
      <c r="M368" s="2" t="str">
        <f aca="false">IF(K368="","Open",IF(K368&lt;=L368,"Yes","No"))</f>
        <v>Yes</v>
      </c>
    </row>
    <row r="369" customFormat="false" ht="15" hidden="false" customHeight="false" outlineLevel="0" collapsed="false">
      <c r="A369" s="2" t="s">
        <v>403</v>
      </c>
      <c r="B369" s="7" t="n">
        <v>46083.5159722222</v>
      </c>
      <c r="C369" s="7" t="n">
        <v>46083.8354166667</v>
      </c>
      <c r="D369" s="2" t="s">
        <v>27</v>
      </c>
      <c r="E369" s="2" t="s">
        <v>35</v>
      </c>
      <c r="F369" s="2" t="s">
        <v>28</v>
      </c>
      <c r="G369" s="2" t="s">
        <v>29</v>
      </c>
      <c r="H369" s="2" t="n">
        <v>3</v>
      </c>
      <c r="I369" s="2" t="str">
        <f aca="false">IF(C369="","Open","Resolved")</f>
        <v>Resolved</v>
      </c>
      <c r="J369" s="2" t="str">
        <f aca="false">TEXT(B369,"yyyy-mm")</f>
        <v>2026-03</v>
      </c>
      <c r="K369" s="8" t="n">
        <f aca="false">IF(C369="","",ROUND((C369-B369)*24,2))</f>
        <v>7.67</v>
      </c>
      <c r="L369" s="2" t="n">
        <f aca="false">INDEX('SLA Policy'!$B$2:$B$5,MATCH(E369,'SLA Policy'!$A$2:$A$5,0))</f>
        <v>24</v>
      </c>
      <c r="M369" s="2" t="str">
        <f aca="false">IF(K369="","Open",IF(K369&lt;=L369,"Yes","No"))</f>
        <v>Yes</v>
      </c>
    </row>
    <row r="370" customFormat="false" ht="15" hidden="false" customHeight="false" outlineLevel="0" collapsed="false">
      <c r="A370" s="2" t="s">
        <v>404</v>
      </c>
      <c r="B370" s="7" t="n">
        <v>46083.5423611111</v>
      </c>
      <c r="C370" s="7" t="n">
        <v>46084.9243055556</v>
      </c>
      <c r="D370" s="2" t="s">
        <v>31</v>
      </c>
      <c r="E370" s="2" t="s">
        <v>32</v>
      </c>
      <c r="F370" s="2" t="s">
        <v>27</v>
      </c>
      <c r="G370" s="2" t="s">
        <v>33</v>
      </c>
      <c r="H370" s="2" t="n">
        <v>4</v>
      </c>
      <c r="I370" s="2" t="str">
        <f aca="false">IF(C370="","Open","Resolved")</f>
        <v>Resolved</v>
      </c>
      <c r="J370" s="2" t="str">
        <f aca="false">TEXT(B370,"yyyy-mm")</f>
        <v>2026-03</v>
      </c>
      <c r="K370" s="8" t="n">
        <f aca="false">IF(C370="","",ROUND((C370-B370)*24,2))</f>
        <v>33.17</v>
      </c>
      <c r="L370" s="2" t="n">
        <f aca="false">INDEX('SLA Policy'!$B$2:$B$5,MATCH(E370,'SLA Policy'!$A$2:$A$5,0))</f>
        <v>72</v>
      </c>
      <c r="M370" s="2" t="str">
        <f aca="false">IF(K370="","Open",IF(K370&lt;=L370,"Yes","No"))</f>
        <v>Yes</v>
      </c>
    </row>
    <row r="371" customFormat="false" ht="15" hidden="false" customHeight="false" outlineLevel="0" collapsed="false">
      <c r="A371" s="2" t="s">
        <v>405</v>
      </c>
      <c r="B371" s="7" t="n">
        <v>46083.6041666667</v>
      </c>
      <c r="C371" s="7" t="n">
        <v>46087.3173611111</v>
      </c>
      <c r="D371" s="2" t="s">
        <v>22</v>
      </c>
      <c r="E371" s="2" t="s">
        <v>32</v>
      </c>
      <c r="F371" s="2" t="s">
        <v>27</v>
      </c>
      <c r="G371" s="2" t="s">
        <v>25</v>
      </c>
      <c r="H371" s="2" t="n">
        <v>1</v>
      </c>
      <c r="I371" s="2" t="str">
        <f aca="false">IF(C371="","Open","Resolved")</f>
        <v>Resolved</v>
      </c>
      <c r="J371" s="2" t="str">
        <f aca="false">TEXT(B371,"yyyy-mm")</f>
        <v>2026-03</v>
      </c>
      <c r="K371" s="8" t="n">
        <f aca="false">IF(C371="","",ROUND((C371-B371)*24,2))</f>
        <v>89.12</v>
      </c>
      <c r="L371" s="2" t="n">
        <f aca="false">INDEX('SLA Policy'!$B$2:$B$5,MATCH(E371,'SLA Policy'!$A$2:$A$5,0))</f>
        <v>72</v>
      </c>
      <c r="M371" s="2" t="str">
        <f aca="false">IF(K371="","Open",IF(K371&lt;=L371,"Yes","No"))</f>
        <v>No</v>
      </c>
    </row>
    <row r="372" customFormat="false" ht="15" hidden="false" customHeight="false" outlineLevel="0" collapsed="false">
      <c r="A372" s="2" t="s">
        <v>406</v>
      </c>
      <c r="B372" s="7" t="n">
        <v>46083.6319444445</v>
      </c>
      <c r="C372" s="7" t="n">
        <v>46083.8118055556</v>
      </c>
      <c r="D372" s="2" t="s">
        <v>31</v>
      </c>
      <c r="E372" s="2" t="s">
        <v>23</v>
      </c>
      <c r="F372" s="2" t="s">
        <v>27</v>
      </c>
      <c r="G372" s="2" t="s">
        <v>33</v>
      </c>
      <c r="H372" s="2" t="n">
        <v>5</v>
      </c>
      <c r="I372" s="2" t="str">
        <f aca="false">IF(C372="","Open","Resolved")</f>
        <v>Resolved</v>
      </c>
      <c r="J372" s="2" t="str">
        <f aca="false">TEXT(B372,"yyyy-mm")</f>
        <v>2026-03</v>
      </c>
      <c r="K372" s="8" t="n">
        <f aca="false">IF(C372="","",ROUND((C372-B372)*24,2))</f>
        <v>4.32</v>
      </c>
      <c r="L372" s="2" t="n">
        <f aca="false">INDEX('SLA Policy'!$B$2:$B$5,MATCH(E372,'SLA Policy'!$A$2:$A$5,0))</f>
        <v>8</v>
      </c>
      <c r="M372" s="2" t="str">
        <f aca="false">IF(K372="","Open",IF(K372&lt;=L372,"Yes","No"))</f>
        <v>Yes</v>
      </c>
    </row>
    <row r="373" customFormat="false" ht="15" hidden="false" customHeight="false" outlineLevel="0" collapsed="false">
      <c r="A373" s="2" t="s">
        <v>407</v>
      </c>
      <c r="B373" s="7" t="n">
        <v>46083.6798611111</v>
      </c>
      <c r="C373" s="7" t="n">
        <v>46084.3493055556</v>
      </c>
      <c r="D373" s="2" t="s">
        <v>27</v>
      </c>
      <c r="E373" s="2" t="s">
        <v>35</v>
      </c>
      <c r="F373" s="2" t="s">
        <v>27</v>
      </c>
      <c r="G373" s="2" t="s">
        <v>29</v>
      </c>
      <c r="H373" s="2" t="n">
        <v>4</v>
      </c>
      <c r="I373" s="2" t="str">
        <f aca="false">IF(C373="","Open","Resolved")</f>
        <v>Resolved</v>
      </c>
      <c r="J373" s="2" t="str">
        <f aca="false">TEXT(B373,"yyyy-mm")</f>
        <v>2026-03</v>
      </c>
      <c r="K373" s="8" t="n">
        <f aca="false">IF(C373="","",ROUND((C373-B373)*24,2))</f>
        <v>16.07</v>
      </c>
      <c r="L373" s="2" t="n">
        <f aca="false">INDEX('SLA Policy'!$B$2:$B$5,MATCH(E373,'SLA Policy'!$A$2:$A$5,0))</f>
        <v>24</v>
      </c>
      <c r="M373" s="2" t="str">
        <f aca="false">IF(K373="","Open",IF(K373&lt;=L373,"Yes","No"))</f>
        <v>Yes</v>
      </c>
    </row>
    <row r="374" customFormat="false" ht="15" hidden="false" customHeight="false" outlineLevel="0" collapsed="false">
      <c r="A374" s="2" t="s">
        <v>408</v>
      </c>
      <c r="B374" s="7" t="n">
        <v>46083.7131944444</v>
      </c>
      <c r="C374" s="7" t="n">
        <v>46083.9659722222</v>
      </c>
      <c r="D374" s="2" t="s">
        <v>42</v>
      </c>
      <c r="E374" s="2" t="s">
        <v>32</v>
      </c>
      <c r="F374" s="2" t="s">
        <v>38</v>
      </c>
      <c r="G374" s="2" t="s">
        <v>29</v>
      </c>
      <c r="H374" s="2" t="n">
        <v>3</v>
      </c>
      <c r="I374" s="2" t="str">
        <f aca="false">IF(C374="","Open","Resolved")</f>
        <v>Resolved</v>
      </c>
      <c r="J374" s="2" t="str">
        <f aca="false">TEXT(B374,"yyyy-mm")</f>
        <v>2026-03</v>
      </c>
      <c r="K374" s="8" t="n">
        <f aca="false">IF(C374="","",ROUND((C374-B374)*24,2))</f>
        <v>6.07</v>
      </c>
      <c r="L374" s="2" t="n">
        <f aca="false">INDEX('SLA Policy'!$B$2:$B$5,MATCH(E374,'SLA Policy'!$A$2:$A$5,0))</f>
        <v>72</v>
      </c>
      <c r="M374" s="2" t="str">
        <f aca="false">IF(K374="","Open",IF(K374&lt;=L374,"Yes","No"))</f>
        <v>Yes</v>
      </c>
    </row>
    <row r="375" customFormat="false" ht="15" hidden="false" customHeight="false" outlineLevel="0" collapsed="false">
      <c r="A375" s="2" t="s">
        <v>409</v>
      </c>
      <c r="B375" s="7" t="n">
        <v>46083.7659722222</v>
      </c>
      <c r="C375" s="7" t="n">
        <v>46084.8104166667</v>
      </c>
      <c r="D375" s="2" t="s">
        <v>48</v>
      </c>
      <c r="E375" s="2" t="s">
        <v>23</v>
      </c>
      <c r="F375" s="2" t="s">
        <v>38</v>
      </c>
      <c r="G375" s="2" t="s">
        <v>25</v>
      </c>
      <c r="H375" s="2" t="n">
        <v>4</v>
      </c>
      <c r="I375" s="2" t="str">
        <f aca="false">IF(C375="","Open","Resolved")</f>
        <v>Resolved</v>
      </c>
      <c r="J375" s="2" t="str">
        <f aca="false">TEXT(B375,"yyyy-mm")</f>
        <v>2026-03</v>
      </c>
      <c r="K375" s="8" t="n">
        <f aca="false">IF(C375="","",ROUND((C375-B375)*24,2))</f>
        <v>25.07</v>
      </c>
      <c r="L375" s="2" t="n">
        <f aca="false">INDEX('SLA Policy'!$B$2:$B$5,MATCH(E375,'SLA Policy'!$A$2:$A$5,0))</f>
        <v>8</v>
      </c>
      <c r="M375" s="2" t="str">
        <f aca="false">IF(K375="","Open",IF(K375&lt;=L375,"Yes","No"))</f>
        <v>No</v>
      </c>
    </row>
    <row r="376" customFormat="false" ht="15" hidden="false" customHeight="false" outlineLevel="0" collapsed="false">
      <c r="A376" s="2" t="s">
        <v>410</v>
      </c>
      <c r="B376" s="7" t="n">
        <v>46083.7833333333</v>
      </c>
      <c r="C376" s="7" t="n">
        <v>46088.9215277778</v>
      </c>
      <c r="D376" s="2" t="s">
        <v>22</v>
      </c>
      <c r="E376" s="2" t="s">
        <v>35</v>
      </c>
      <c r="F376" s="2" t="s">
        <v>27</v>
      </c>
      <c r="G376" s="2" t="s">
        <v>25</v>
      </c>
      <c r="H376" s="2" t="n">
        <v>1</v>
      </c>
      <c r="I376" s="2" t="str">
        <f aca="false">IF(C376="","Open","Resolved")</f>
        <v>Resolved</v>
      </c>
      <c r="J376" s="2" t="str">
        <f aca="false">TEXT(B376,"yyyy-mm")</f>
        <v>2026-03</v>
      </c>
      <c r="K376" s="8" t="n">
        <f aca="false">IF(C376="","",ROUND((C376-B376)*24,2))</f>
        <v>123.32</v>
      </c>
      <c r="L376" s="2" t="n">
        <f aca="false">INDEX('SLA Policy'!$B$2:$B$5,MATCH(E376,'SLA Policy'!$A$2:$A$5,0))</f>
        <v>24</v>
      </c>
      <c r="M376" s="2" t="str">
        <f aca="false">IF(K376="","Open",IF(K376&lt;=L376,"Yes","No"))</f>
        <v>No</v>
      </c>
    </row>
    <row r="377" customFormat="false" ht="15" hidden="false" customHeight="false" outlineLevel="0" collapsed="false">
      <c r="A377" s="2" t="s">
        <v>411</v>
      </c>
      <c r="B377" s="7" t="n">
        <v>46084.3090277778</v>
      </c>
      <c r="C377" s="7" t="n">
        <v>46084.7291666667</v>
      </c>
      <c r="D377" s="2" t="s">
        <v>42</v>
      </c>
      <c r="E377" s="2" t="s">
        <v>35</v>
      </c>
      <c r="F377" s="2" t="s">
        <v>24</v>
      </c>
      <c r="G377" s="2" t="s">
        <v>29</v>
      </c>
      <c r="H377" s="2" t="n">
        <v>4</v>
      </c>
      <c r="I377" s="2" t="str">
        <f aca="false">IF(C377="","Open","Resolved")</f>
        <v>Resolved</v>
      </c>
      <c r="J377" s="2" t="str">
        <f aca="false">TEXT(B377,"yyyy-mm")</f>
        <v>2026-03</v>
      </c>
      <c r="K377" s="8" t="n">
        <f aca="false">IF(C377="","",ROUND((C377-B377)*24,2))</f>
        <v>10.08</v>
      </c>
      <c r="L377" s="2" t="n">
        <f aca="false">INDEX('SLA Policy'!$B$2:$B$5,MATCH(E377,'SLA Policy'!$A$2:$A$5,0))</f>
        <v>24</v>
      </c>
      <c r="M377" s="2" t="str">
        <f aca="false">IF(K377="","Open",IF(K377&lt;=L377,"Yes","No"))</f>
        <v>Yes</v>
      </c>
    </row>
    <row r="378" customFormat="false" ht="15" hidden="false" customHeight="false" outlineLevel="0" collapsed="false">
      <c r="A378" s="2" t="s">
        <v>412</v>
      </c>
      <c r="B378" s="7" t="n">
        <v>46084.3243055556</v>
      </c>
      <c r="C378" s="7" t="n">
        <v>46084.6243055556</v>
      </c>
      <c r="D378" s="2" t="s">
        <v>31</v>
      </c>
      <c r="E378" s="2" t="s">
        <v>35</v>
      </c>
      <c r="F378" s="2" t="s">
        <v>24</v>
      </c>
      <c r="G378" s="2" t="s">
        <v>33</v>
      </c>
      <c r="H378" s="2" t="n">
        <v>4</v>
      </c>
      <c r="I378" s="2" t="str">
        <f aca="false">IF(C378="","Open","Resolved")</f>
        <v>Resolved</v>
      </c>
      <c r="J378" s="2" t="str">
        <f aca="false">TEXT(B378,"yyyy-mm")</f>
        <v>2026-03</v>
      </c>
      <c r="K378" s="8" t="n">
        <f aca="false">IF(C378="","",ROUND((C378-B378)*24,2))</f>
        <v>7.2</v>
      </c>
      <c r="L378" s="2" t="n">
        <f aca="false">INDEX('SLA Policy'!$B$2:$B$5,MATCH(E378,'SLA Policy'!$A$2:$A$5,0))</f>
        <v>24</v>
      </c>
      <c r="M378" s="2" t="str">
        <f aca="false">IF(K378="","Open",IF(K378&lt;=L378,"Yes","No"))</f>
        <v>Yes</v>
      </c>
    </row>
    <row r="379" customFormat="false" ht="15" hidden="false" customHeight="false" outlineLevel="0" collapsed="false">
      <c r="A379" s="2" t="s">
        <v>413</v>
      </c>
      <c r="B379" s="7" t="n">
        <v>46084.3430555556</v>
      </c>
      <c r="C379" s="7" t="n">
        <v>46085.4555555556</v>
      </c>
      <c r="D379" s="2" t="s">
        <v>31</v>
      </c>
      <c r="E379" s="2" t="s">
        <v>35</v>
      </c>
      <c r="F379" s="2" t="s">
        <v>27</v>
      </c>
      <c r="G379" s="2" t="s">
        <v>33</v>
      </c>
      <c r="H379" s="2" t="n">
        <v>4</v>
      </c>
      <c r="I379" s="2" t="str">
        <f aca="false">IF(C379="","Open","Resolved")</f>
        <v>Resolved</v>
      </c>
      <c r="J379" s="2" t="str">
        <f aca="false">TEXT(B379,"yyyy-mm")</f>
        <v>2026-03</v>
      </c>
      <c r="K379" s="8" t="n">
        <f aca="false">IF(C379="","",ROUND((C379-B379)*24,2))</f>
        <v>26.7</v>
      </c>
      <c r="L379" s="2" t="n">
        <f aca="false">INDEX('SLA Policy'!$B$2:$B$5,MATCH(E379,'SLA Policy'!$A$2:$A$5,0))</f>
        <v>24</v>
      </c>
      <c r="M379" s="2" t="str">
        <f aca="false">IF(K379="","Open",IF(K379&lt;=L379,"Yes","No"))</f>
        <v>No</v>
      </c>
    </row>
    <row r="380" customFormat="false" ht="15" hidden="false" customHeight="false" outlineLevel="0" collapsed="false">
      <c r="A380" s="2" t="s">
        <v>414</v>
      </c>
      <c r="B380" s="7" t="n">
        <v>46084.3951388889</v>
      </c>
      <c r="C380" s="7" t="n">
        <v>46085.775</v>
      </c>
      <c r="D380" s="2" t="s">
        <v>31</v>
      </c>
      <c r="E380" s="2" t="s">
        <v>35</v>
      </c>
      <c r="F380" s="2" t="s">
        <v>28</v>
      </c>
      <c r="G380" s="2" t="s">
        <v>33</v>
      </c>
      <c r="H380" s="2" t="n">
        <v>3</v>
      </c>
      <c r="I380" s="2" t="str">
        <f aca="false">IF(C380="","Open","Resolved")</f>
        <v>Resolved</v>
      </c>
      <c r="J380" s="2" t="str">
        <f aca="false">TEXT(B380,"yyyy-mm")</f>
        <v>2026-03</v>
      </c>
      <c r="K380" s="8" t="n">
        <f aca="false">IF(C380="","",ROUND((C380-B380)*24,2))</f>
        <v>33.12</v>
      </c>
      <c r="L380" s="2" t="n">
        <f aca="false">INDEX('SLA Policy'!$B$2:$B$5,MATCH(E380,'SLA Policy'!$A$2:$A$5,0))</f>
        <v>24</v>
      </c>
      <c r="M380" s="2" t="str">
        <f aca="false">IF(K380="","Open",IF(K380&lt;=L380,"Yes","No"))</f>
        <v>No</v>
      </c>
    </row>
    <row r="381" customFormat="false" ht="15" hidden="false" customHeight="false" outlineLevel="0" collapsed="false">
      <c r="A381" s="2" t="s">
        <v>415</v>
      </c>
      <c r="B381" s="7" t="n">
        <v>46084.4604166667</v>
      </c>
      <c r="C381" s="7" t="n">
        <v>46085.5291666667</v>
      </c>
      <c r="D381" s="2" t="s">
        <v>31</v>
      </c>
      <c r="E381" s="2" t="s">
        <v>35</v>
      </c>
      <c r="F381" s="2" t="s">
        <v>24</v>
      </c>
      <c r="G381" s="2" t="s">
        <v>33</v>
      </c>
      <c r="H381" s="2" t="n">
        <v>4</v>
      </c>
      <c r="I381" s="2" t="str">
        <f aca="false">IF(C381="","Open","Resolved")</f>
        <v>Resolved</v>
      </c>
      <c r="J381" s="2" t="str">
        <f aca="false">TEXT(B381,"yyyy-mm")</f>
        <v>2026-03</v>
      </c>
      <c r="K381" s="8" t="n">
        <f aca="false">IF(C381="","",ROUND((C381-B381)*24,2))</f>
        <v>25.65</v>
      </c>
      <c r="L381" s="2" t="n">
        <f aca="false">INDEX('SLA Policy'!$B$2:$B$5,MATCH(E381,'SLA Policy'!$A$2:$A$5,0))</f>
        <v>24</v>
      </c>
      <c r="M381" s="2" t="str">
        <f aca="false">IF(K381="","Open",IF(K381&lt;=L381,"Yes","No"))</f>
        <v>No</v>
      </c>
    </row>
    <row r="382" customFormat="false" ht="15" hidden="false" customHeight="false" outlineLevel="0" collapsed="false">
      <c r="A382" s="2" t="s">
        <v>416</v>
      </c>
      <c r="B382" s="7" t="n">
        <v>46084.4604166667</v>
      </c>
      <c r="C382" s="7" t="n">
        <v>46085.5930555556</v>
      </c>
      <c r="D382" s="2" t="s">
        <v>31</v>
      </c>
      <c r="E382" s="2" t="s">
        <v>35</v>
      </c>
      <c r="F382" s="2" t="s">
        <v>28</v>
      </c>
      <c r="G382" s="2" t="s">
        <v>33</v>
      </c>
      <c r="H382" s="2" t="n">
        <v>4</v>
      </c>
      <c r="I382" s="2" t="str">
        <f aca="false">IF(C382="","Open","Resolved")</f>
        <v>Resolved</v>
      </c>
      <c r="J382" s="2" t="str">
        <f aca="false">TEXT(B382,"yyyy-mm")</f>
        <v>2026-03</v>
      </c>
      <c r="K382" s="8" t="n">
        <f aca="false">IF(C382="","",ROUND((C382-B382)*24,2))</f>
        <v>27.18</v>
      </c>
      <c r="L382" s="2" t="n">
        <f aca="false">INDEX('SLA Policy'!$B$2:$B$5,MATCH(E382,'SLA Policy'!$A$2:$A$5,0))</f>
        <v>24</v>
      </c>
      <c r="M382" s="2" t="str">
        <f aca="false">IF(K382="","Open",IF(K382&lt;=L382,"Yes","No"))</f>
        <v>No</v>
      </c>
    </row>
    <row r="383" customFormat="false" ht="15" hidden="false" customHeight="false" outlineLevel="0" collapsed="false">
      <c r="A383" s="2" t="s">
        <v>417</v>
      </c>
      <c r="B383" s="7" t="n">
        <v>46084.4659722222</v>
      </c>
      <c r="C383" s="7" t="n">
        <v>46085.2847222222</v>
      </c>
      <c r="D383" s="2" t="s">
        <v>31</v>
      </c>
      <c r="E383" s="2" t="s">
        <v>35</v>
      </c>
      <c r="F383" s="2" t="s">
        <v>24</v>
      </c>
      <c r="G383" s="2" t="s">
        <v>33</v>
      </c>
      <c r="H383" s="2" t="n">
        <v>4</v>
      </c>
      <c r="I383" s="2" t="str">
        <f aca="false">IF(C383="","Open","Resolved")</f>
        <v>Resolved</v>
      </c>
      <c r="J383" s="2" t="str">
        <f aca="false">TEXT(B383,"yyyy-mm")</f>
        <v>2026-03</v>
      </c>
      <c r="K383" s="8" t="n">
        <f aca="false">IF(C383="","",ROUND((C383-B383)*24,2))</f>
        <v>19.65</v>
      </c>
      <c r="L383" s="2" t="n">
        <f aca="false">INDEX('SLA Policy'!$B$2:$B$5,MATCH(E383,'SLA Policy'!$A$2:$A$5,0))</f>
        <v>24</v>
      </c>
      <c r="M383" s="2" t="str">
        <f aca="false">IF(K383="","Open",IF(K383&lt;=L383,"Yes","No"))</f>
        <v>Yes</v>
      </c>
    </row>
    <row r="384" customFormat="false" ht="15" hidden="false" customHeight="false" outlineLevel="0" collapsed="false">
      <c r="A384" s="2" t="s">
        <v>418</v>
      </c>
      <c r="B384" s="7" t="n">
        <v>46084.4916666667</v>
      </c>
      <c r="C384" s="7" t="n">
        <v>46084.5291666667</v>
      </c>
      <c r="D384" s="2" t="s">
        <v>42</v>
      </c>
      <c r="E384" s="2" t="s">
        <v>40</v>
      </c>
      <c r="F384" s="2" t="s">
        <v>27</v>
      </c>
      <c r="G384" s="2" t="s">
        <v>29</v>
      </c>
      <c r="H384" s="2" t="n">
        <v>5</v>
      </c>
      <c r="I384" s="2" t="str">
        <f aca="false">IF(C384="","Open","Resolved")</f>
        <v>Resolved</v>
      </c>
      <c r="J384" s="2" t="str">
        <f aca="false">TEXT(B384,"yyyy-mm")</f>
        <v>2026-03</v>
      </c>
      <c r="K384" s="8" t="n">
        <f aca="false">IF(C384="","",ROUND((C384-B384)*24,2))</f>
        <v>0.9</v>
      </c>
      <c r="L384" s="2" t="n">
        <f aca="false">INDEX('SLA Policy'!$B$2:$B$5,MATCH(E384,'SLA Policy'!$A$2:$A$5,0))</f>
        <v>4</v>
      </c>
      <c r="M384" s="2" t="str">
        <f aca="false">IF(K384="","Open",IF(K384&lt;=L384,"Yes","No"))</f>
        <v>Yes</v>
      </c>
    </row>
    <row r="385" customFormat="false" ht="15" hidden="false" customHeight="false" outlineLevel="0" collapsed="false">
      <c r="A385" s="2" t="s">
        <v>419</v>
      </c>
      <c r="B385" s="7" t="n">
        <v>46084.5840277778</v>
      </c>
      <c r="C385" s="7" t="n">
        <v>46084.7069444444</v>
      </c>
      <c r="D385" s="2" t="s">
        <v>31</v>
      </c>
      <c r="E385" s="2" t="s">
        <v>40</v>
      </c>
      <c r="F385" s="2" t="s">
        <v>24</v>
      </c>
      <c r="G385" s="2" t="s">
        <v>33</v>
      </c>
      <c r="H385" s="2" t="n">
        <v>4</v>
      </c>
      <c r="I385" s="2" t="str">
        <f aca="false">IF(C385="","Open","Resolved")</f>
        <v>Resolved</v>
      </c>
      <c r="J385" s="2" t="str">
        <f aca="false">TEXT(B385,"yyyy-mm")</f>
        <v>2026-03</v>
      </c>
      <c r="K385" s="8" t="n">
        <f aca="false">IF(C385="","",ROUND((C385-B385)*24,2))</f>
        <v>2.95</v>
      </c>
      <c r="L385" s="2" t="n">
        <f aca="false">INDEX('SLA Policy'!$B$2:$B$5,MATCH(E385,'SLA Policy'!$A$2:$A$5,0))</f>
        <v>4</v>
      </c>
      <c r="M385" s="2" t="str">
        <f aca="false">IF(K385="","Open",IF(K385&lt;=L385,"Yes","No"))</f>
        <v>Yes</v>
      </c>
    </row>
    <row r="386" customFormat="false" ht="15" hidden="false" customHeight="false" outlineLevel="0" collapsed="false">
      <c r="A386" s="2" t="s">
        <v>420</v>
      </c>
      <c r="B386" s="7" t="n">
        <v>46084.5875</v>
      </c>
      <c r="C386" s="7" t="n">
        <v>46088.01875</v>
      </c>
      <c r="D386" s="2" t="s">
        <v>27</v>
      </c>
      <c r="E386" s="2" t="s">
        <v>32</v>
      </c>
      <c r="F386" s="2" t="s">
        <v>28</v>
      </c>
      <c r="G386" s="2" t="s">
        <v>29</v>
      </c>
      <c r="H386" s="2" t="n">
        <v>2</v>
      </c>
      <c r="I386" s="2" t="str">
        <f aca="false">IF(C386="","Open","Resolved")</f>
        <v>Resolved</v>
      </c>
      <c r="J386" s="2" t="str">
        <f aca="false">TEXT(B386,"yyyy-mm")</f>
        <v>2026-03</v>
      </c>
      <c r="K386" s="8" t="n">
        <f aca="false">IF(C386="","",ROUND((C386-B386)*24,2))</f>
        <v>82.35</v>
      </c>
      <c r="L386" s="2" t="n">
        <f aca="false">INDEX('SLA Policy'!$B$2:$B$5,MATCH(E386,'SLA Policy'!$A$2:$A$5,0))</f>
        <v>72</v>
      </c>
      <c r="M386" s="2" t="str">
        <f aca="false">IF(K386="","Open",IF(K386&lt;=L386,"Yes","No"))</f>
        <v>No</v>
      </c>
    </row>
    <row r="387" customFormat="false" ht="15" hidden="false" customHeight="false" outlineLevel="0" collapsed="false">
      <c r="A387" s="2" t="s">
        <v>421</v>
      </c>
      <c r="B387" s="7" t="n">
        <v>46084.6006944445</v>
      </c>
      <c r="C387" s="7" t="n">
        <v>46085.0444444444</v>
      </c>
      <c r="D387" s="2" t="s">
        <v>42</v>
      </c>
      <c r="E387" s="2" t="s">
        <v>35</v>
      </c>
      <c r="F387" s="2" t="s">
        <v>27</v>
      </c>
      <c r="G387" s="2" t="s">
        <v>29</v>
      </c>
      <c r="H387" s="2" t="n">
        <v>5</v>
      </c>
      <c r="I387" s="2" t="str">
        <f aca="false">IF(C387="","Open","Resolved")</f>
        <v>Resolved</v>
      </c>
      <c r="J387" s="2" t="str">
        <f aca="false">TEXT(B387,"yyyy-mm")</f>
        <v>2026-03</v>
      </c>
      <c r="K387" s="8" t="n">
        <f aca="false">IF(C387="","",ROUND((C387-B387)*24,2))</f>
        <v>10.65</v>
      </c>
      <c r="L387" s="2" t="n">
        <f aca="false">INDEX('SLA Policy'!$B$2:$B$5,MATCH(E387,'SLA Policy'!$A$2:$A$5,0))</f>
        <v>24</v>
      </c>
      <c r="M387" s="2" t="str">
        <f aca="false">IF(K387="","Open",IF(K387&lt;=L387,"Yes","No"))</f>
        <v>Yes</v>
      </c>
    </row>
    <row r="388" customFormat="false" ht="15" hidden="false" customHeight="false" outlineLevel="0" collapsed="false">
      <c r="A388" s="2" t="s">
        <v>422</v>
      </c>
      <c r="B388" s="7" t="n">
        <v>46084.6145833333</v>
      </c>
      <c r="C388" s="7" t="n">
        <v>46085.2666666667</v>
      </c>
      <c r="D388" s="2" t="s">
        <v>31</v>
      </c>
      <c r="E388" s="2" t="s">
        <v>23</v>
      </c>
      <c r="F388" s="2" t="s">
        <v>24</v>
      </c>
      <c r="G388" s="2" t="s">
        <v>33</v>
      </c>
      <c r="H388" s="2" t="n">
        <v>5</v>
      </c>
      <c r="I388" s="2" t="str">
        <f aca="false">IF(C388="","Open","Resolved")</f>
        <v>Resolved</v>
      </c>
      <c r="J388" s="2" t="str">
        <f aca="false">TEXT(B388,"yyyy-mm")</f>
        <v>2026-03</v>
      </c>
      <c r="K388" s="8" t="n">
        <f aca="false">IF(C388="","",ROUND((C388-B388)*24,2))</f>
        <v>15.65</v>
      </c>
      <c r="L388" s="2" t="n">
        <f aca="false">INDEX('SLA Policy'!$B$2:$B$5,MATCH(E388,'SLA Policy'!$A$2:$A$5,0))</f>
        <v>8</v>
      </c>
      <c r="M388" s="2" t="str">
        <f aca="false">IF(K388="","Open",IF(K388&lt;=L388,"Yes","No"))</f>
        <v>No</v>
      </c>
    </row>
    <row r="389" customFormat="false" ht="15" hidden="false" customHeight="false" outlineLevel="0" collapsed="false">
      <c r="A389" s="2" t="s">
        <v>423</v>
      </c>
      <c r="B389" s="7" t="n">
        <v>46084.625</v>
      </c>
      <c r="C389" s="7" t="n">
        <v>46084.9479166667</v>
      </c>
      <c r="D389" s="2" t="s">
        <v>48</v>
      </c>
      <c r="E389" s="2" t="s">
        <v>35</v>
      </c>
      <c r="F389" s="2" t="s">
        <v>24</v>
      </c>
      <c r="G389" s="2" t="s">
        <v>25</v>
      </c>
      <c r="H389" s="2" t="n">
        <v>5</v>
      </c>
      <c r="I389" s="2" t="str">
        <f aca="false">IF(C389="","Open","Resolved")</f>
        <v>Resolved</v>
      </c>
      <c r="J389" s="2" t="str">
        <f aca="false">TEXT(B389,"yyyy-mm")</f>
        <v>2026-03</v>
      </c>
      <c r="K389" s="8" t="n">
        <f aca="false">IF(C389="","",ROUND((C389-B389)*24,2))</f>
        <v>7.75</v>
      </c>
      <c r="L389" s="2" t="n">
        <f aca="false">INDEX('SLA Policy'!$B$2:$B$5,MATCH(E389,'SLA Policy'!$A$2:$A$5,0))</f>
        <v>24</v>
      </c>
      <c r="M389" s="2" t="str">
        <f aca="false">IF(K389="","Open",IF(K389&lt;=L389,"Yes","No"))</f>
        <v>Yes</v>
      </c>
    </row>
    <row r="390" customFormat="false" ht="15" hidden="false" customHeight="false" outlineLevel="0" collapsed="false">
      <c r="A390" s="2" t="s">
        <v>424</v>
      </c>
      <c r="B390" s="7" t="n">
        <v>46084.6354166667</v>
      </c>
      <c r="C390" s="7" t="n">
        <v>46084.8236111111</v>
      </c>
      <c r="D390" s="2" t="s">
        <v>31</v>
      </c>
      <c r="E390" s="2" t="s">
        <v>40</v>
      </c>
      <c r="F390" s="2" t="s">
        <v>24</v>
      </c>
      <c r="G390" s="2" t="s">
        <v>33</v>
      </c>
      <c r="H390" s="2" t="n">
        <v>4</v>
      </c>
      <c r="I390" s="2" t="str">
        <f aca="false">IF(C390="","Open","Resolved")</f>
        <v>Resolved</v>
      </c>
      <c r="J390" s="2" t="str">
        <f aca="false">TEXT(B390,"yyyy-mm")</f>
        <v>2026-03</v>
      </c>
      <c r="K390" s="8" t="n">
        <f aca="false">IF(C390="","",ROUND((C390-B390)*24,2))</f>
        <v>4.52</v>
      </c>
      <c r="L390" s="2" t="n">
        <f aca="false">INDEX('SLA Policy'!$B$2:$B$5,MATCH(E390,'SLA Policy'!$A$2:$A$5,0))</f>
        <v>4</v>
      </c>
      <c r="M390" s="2" t="str">
        <f aca="false">IF(K390="","Open",IF(K390&lt;=L390,"Yes","No"))</f>
        <v>No</v>
      </c>
    </row>
    <row r="391" customFormat="false" ht="15" hidden="false" customHeight="false" outlineLevel="0" collapsed="false">
      <c r="A391" s="2" t="s">
        <v>425</v>
      </c>
      <c r="B391" s="7" t="n">
        <v>46084.7131944444</v>
      </c>
      <c r="C391" s="7" t="n">
        <v>46084.8430555556</v>
      </c>
      <c r="D391" s="2" t="s">
        <v>27</v>
      </c>
      <c r="E391" s="2" t="s">
        <v>23</v>
      </c>
      <c r="F391" s="2" t="s">
        <v>24</v>
      </c>
      <c r="G391" s="2" t="s">
        <v>29</v>
      </c>
      <c r="H391" s="2" t="n">
        <v>5</v>
      </c>
      <c r="I391" s="2" t="str">
        <f aca="false">IF(C391="","Open","Resolved")</f>
        <v>Resolved</v>
      </c>
      <c r="J391" s="2" t="str">
        <f aca="false">TEXT(B391,"yyyy-mm")</f>
        <v>2026-03</v>
      </c>
      <c r="K391" s="8" t="n">
        <f aca="false">IF(C391="","",ROUND((C391-B391)*24,2))</f>
        <v>3.12</v>
      </c>
      <c r="L391" s="2" t="n">
        <f aca="false">INDEX('SLA Policy'!$B$2:$B$5,MATCH(E391,'SLA Policy'!$A$2:$A$5,0))</f>
        <v>8</v>
      </c>
      <c r="M391" s="2" t="str">
        <f aca="false">IF(K391="","Open",IF(K391&lt;=L391,"Yes","No"))</f>
        <v>Yes</v>
      </c>
    </row>
    <row r="392" customFormat="false" ht="15" hidden="false" customHeight="false" outlineLevel="0" collapsed="false">
      <c r="A392" s="2" t="s">
        <v>426</v>
      </c>
      <c r="B392" s="7" t="n">
        <v>46084.7263888889</v>
      </c>
      <c r="C392" s="7" t="n">
        <v>46086.0006944445</v>
      </c>
      <c r="D392" s="2" t="s">
        <v>31</v>
      </c>
      <c r="E392" s="2" t="s">
        <v>35</v>
      </c>
      <c r="F392" s="2" t="s">
        <v>27</v>
      </c>
      <c r="G392" s="2" t="s">
        <v>33</v>
      </c>
      <c r="H392" s="2" t="n">
        <v>3</v>
      </c>
      <c r="I392" s="2" t="str">
        <f aca="false">IF(C392="","Open","Resolved")</f>
        <v>Resolved</v>
      </c>
      <c r="J392" s="2" t="str">
        <f aca="false">TEXT(B392,"yyyy-mm")</f>
        <v>2026-03</v>
      </c>
      <c r="K392" s="8" t="n">
        <f aca="false">IF(C392="","",ROUND((C392-B392)*24,2))</f>
        <v>30.58</v>
      </c>
      <c r="L392" s="2" t="n">
        <f aca="false">INDEX('SLA Policy'!$B$2:$B$5,MATCH(E392,'SLA Policy'!$A$2:$A$5,0))</f>
        <v>24</v>
      </c>
      <c r="M392" s="2" t="str">
        <f aca="false">IF(K392="","Open",IF(K392&lt;=L392,"Yes","No"))</f>
        <v>No</v>
      </c>
    </row>
    <row r="393" customFormat="false" ht="15" hidden="false" customHeight="false" outlineLevel="0" collapsed="false">
      <c r="A393" s="2" t="s">
        <v>427</v>
      </c>
      <c r="B393" s="7" t="n">
        <v>46084.7784722222</v>
      </c>
      <c r="C393" s="7" t="n">
        <v>46085.6361111111</v>
      </c>
      <c r="D393" s="2" t="s">
        <v>31</v>
      </c>
      <c r="E393" s="2" t="s">
        <v>35</v>
      </c>
      <c r="F393" s="2" t="s">
        <v>27</v>
      </c>
      <c r="G393" s="2" t="s">
        <v>33</v>
      </c>
      <c r="H393" s="2" t="n">
        <v>4</v>
      </c>
      <c r="I393" s="2" t="str">
        <f aca="false">IF(C393="","Open","Resolved")</f>
        <v>Resolved</v>
      </c>
      <c r="J393" s="2" t="str">
        <f aca="false">TEXT(B393,"yyyy-mm")</f>
        <v>2026-03</v>
      </c>
      <c r="K393" s="8" t="n">
        <f aca="false">IF(C393="","",ROUND((C393-B393)*24,2))</f>
        <v>20.58</v>
      </c>
      <c r="L393" s="2" t="n">
        <f aca="false">INDEX('SLA Policy'!$B$2:$B$5,MATCH(E393,'SLA Policy'!$A$2:$A$5,0))</f>
        <v>24</v>
      </c>
      <c r="M393" s="2" t="str">
        <f aca="false">IF(K393="","Open",IF(K393&lt;=L393,"Yes","No"))</f>
        <v>Yes</v>
      </c>
    </row>
    <row r="394" customFormat="false" ht="15" hidden="false" customHeight="false" outlineLevel="0" collapsed="false">
      <c r="A394" s="2" t="s">
        <v>428</v>
      </c>
      <c r="B394" s="7" t="n">
        <v>46085.3347222222</v>
      </c>
      <c r="C394" s="7" t="n">
        <v>46085.8770833333</v>
      </c>
      <c r="D394" s="2" t="s">
        <v>48</v>
      </c>
      <c r="E394" s="2" t="s">
        <v>35</v>
      </c>
      <c r="F394" s="2" t="s">
        <v>27</v>
      </c>
      <c r="G394" s="2" t="s">
        <v>25</v>
      </c>
      <c r="H394" s="2" t="n">
        <v>5</v>
      </c>
      <c r="I394" s="2" t="str">
        <f aca="false">IF(C394="","Open","Resolved")</f>
        <v>Resolved</v>
      </c>
      <c r="J394" s="2" t="str">
        <f aca="false">TEXT(B394,"yyyy-mm")</f>
        <v>2026-03</v>
      </c>
      <c r="K394" s="8" t="n">
        <f aca="false">IF(C394="","",ROUND((C394-B394)*24,2))</f>
        <v>13.02</v>
      </c>
      <c r="L394" s="2" t="n">
        <f aca="false">INDEX('SLA Policy'!$B$2:$B$5,MATCH(E394,'SLA Policy'!$A$2:$A$5,0))</f>
        <v>24</v>
      </c>
      <c r="M394" s="2" t="str">
        <f aca="false">IF(K394="","Open",IF(K394&lt;=L394,"Yes","No"))</f>
        <v>Yes</v>
      </c>
    </row>
    <row r="395" customFormat="false" ht="15" hidden="false" customHeight="false" outlineLevel="0" collapsed="false">
      <c r="A395" s="2" t="s">
        <v>429</v>
      </c>
      <c r="B395" s="7" t="n">
        <v>46085.3527777778</v>
      </c>
      <c r="C395" s="7" t="n">
        <v>46085.6493055556</v>
      </c>
      <c r="D395" s="2" t="s">
        <v>31</v>
      </c>
      <c r="E395" s="2" t="s">
        <v>35</v>
      </c>
      <c r="F395" s="2" t="s">
        <v>28</v>
      </c>
      <c r="G395" s="2" t="s">
        <v>33</v>
      </c>
      <c r="H395" s="2" t="n">
        <v>4</v>
      </c>
      <c r="I395" s="2" t="str">
        <f aca="false">IF(C395="","Open","Resolved")</f>
        <v>Resolved</v>
      </c>
      <c r="J395" s="2" t="str">
        <f aca="false">TEXT(B395,"yyyy-mm")</f>
        <v>2026-03</v>
      </c>
      <c r="K395" s="8" t="n">
        <f aca="false">IF(C395="","",ROUND((C395-B395)*24,2))</f>
        <v>7.12</v>
      </c>
      <c r="L395" s="2" t="n">
        <f aca="false">INDEX('SLA Policy'!$B$2:$B$5,MATCH(E395,'SLA Policy'!$A$2:$A$5,0))</f>
        <v>24</v>
      </c>
      <c r="M395" s="2" t="str">
        <f aca="false">IF(K395="","Open",IF(K395&lt;=L395,"Yes","No"))</f>
        <v>Yes</v>
      </c>
    </row>
    <row r="396" customFormat="false" ht="15" hidden="false" customHeight="false" outlineLevel="0" collapsed="false">
      <c r="A396" s="2" t="s">
        <v>430</v>
      </c>
      <c r="B396" s="7" t="n">
        <v>46085.3604166667</v>
      </c>
      <c r="C396" s="7" t="n">
        <v>46086.0513888889</v>
      </c>
      <c r="D396" s="2" t="s">
        <v>31</v>
      </c>
      <c r="E396" s="2" t="s">
        <v>35</v>
      </c>
      <c r="F396" s="2" t="s">
        <v>24</v>
      </c>
      <c r="G396" s="2" t="s">
        <v>33</v>
      </c>
      <c r="H396" s="2" t="n">
        <v>3</v>
      </c>
      <c r="I396" s="2" t="str">
        <f aca="false">IF(C396="","Open","Resolved")</f>
        <v>Resolved</v>
      </c>
      <c r="J396" s="2" t="str">
        <f aca="false">TEXT(B396,"yyyy-mm")</f>
        <v>2026-03</v>
      </c>
      <c r="K396" s="8" t="n">
        <f aca="false">IF(C396="","",ROUND((C396-B396)*24,2))</f>
        <v>16.58</v>
      </c>
      <c r="L396" s="2" t="n">
        <f aca="false">INDEX('SLA Policy'!$B$2:$B$5,MATCH(E396,'SLA Policy'!$A$2:$A$5,0))</f>
        <v>24</v>
      </c>
      <c r="M396" s="2" t="str">
        <f aca="false">IF(K396="","Open",IF(K396&lt;=L396,"Yes","No"))</f>
        <v>Yes</v>
      </c>
    </row>
    <row r="397" customFormat="false" ht="15" hidden="false" customHeight="false" outlineLevel="0" collapsed="false">
      <c r="A397" s="2" t="s">
        <v>431</v>
      </c>
      <c r="B397" s="7" t="n">
        <v>46085.3784722222</v>
      </c>
      <c r="C397" s="7" t="n">
        <v>46086.6090277778</v>
      </c>
      <c r="D397" s="2" t="s">
        <v>27</v>
      </c>
      <c r="E397" s="2" t="s">
        <v>35</v>
      </c>
      <c r="F397" s="2" t="s">
        <v>24</v>
      </c>
      <c r="G397" s="2" t="s">
        <v>29</v>
      </c>
      <c r="H397" s="2" t="n">
        <v>3</v>
      </c>
      <c r="I397" s="2" t="str">
        <f aca="false">IF(C397="","Open","Resolved")</f>
        <v>Resolved</v>
      </c>
      <c r="J397" s="2" t="str">
        <f aca="false">TEXT(B397,"yyyy-mm")</f>
        <v>2026-03</v>
      </c>
      <c r="K397" s="8" t="n">
        <f aca="false">IF(C397="","",ROUND((C397-B397)*24,2))</f>
        <v>29.53</v>
      </c>
      <c r="L397" s="2" t="n">
        <f aca="false">INDEX('SLA Policy'!$B$2:$B$5,MATCH(E397,'SLA Policy'!$A$2:$A$5,0))</f>
        <v>24</v>
      </c>
      <c r="M397" s="2" t="str">
        <f aca="false">IF(K397="","Open",IF(K397&lt;=L397,"Yes","No"))</f>
        <v>No</v>
      </c>
    </row>
    <row r="398" customFormat="false" ht="15" hidden="false" customHeight="false" outlineLevel="0" collapsed="false">
      <c r="A398" s="2" t="s">
        <v>432</v>
      </c>
      <c r="B398" s="7" t="n">
        <v>46085.3902777778</v>
      </c>
      <c r="C398" s="7" t="n">
        <v>46086.2076388889</v>
      </c>
      <c r="D398" s="2" t="s">
        <v>31</v>
      </c>
      <c r="E398" s="2" t="s">
        <v>35</v>
      </c>
      <c r="F398" s="2" t="s">
        <v>38</v>
      </c>
      <c r="G398" s="2" t="s">
        <v>33</v>
      </c>
      <c r="H398" s="2" t="n">
        <v>4</v>
      </c>
      <c r="I398" s="2" t="str">
        <f aca="false">IF(C398="","Open","Resolved")</f>
        <v>Resolved</v>
      </c>
      <c r="J398" s="2" t="str">
        <f aca="false">TEXT(B398,"yyyy-mm")</f>
        <v>2026-03</v>
      </c>
      <c r="K398" s="8" t="n">
        <f aca="false">IF(C398="","",ROUND((C398-B398)*24,2))</f>
        <v>19.62</v>
      </c>
      <c r="L398" s="2" t="n">
        <f aca="false">INDEX('SLA Policy'!$B$2:$B$5,MATCH(E398,'SLA Policy'!$A$2:$A$5,0))</f>
        <v>24</v>
      </c>
      <c r="M398" s="2" t="str">
        <f aca="false">IF(K398="","Open",IF(K398&lt;=L398,"Yes","No"))</f>
        <v>Yes</v>
      </c>
    </row>
    <row r="399" customFormat="false" ht="15" hidden="false" customHeight="false" outlineLevel="0" collapsed="false">
      <c r="A399" s="2" t="s">
        <v>433</v>
      </c>
      <c r="B399" s="7" t="n">
        <v>46085.3902777778</v>
      </c>
      <c r="C399" s="7" t="n">
        <v>46086.0076388889</v>
      </c>
      <c r="D399" s="2" t="s">
        <v>31</v>
      </c>
      <c r="E399" s="2" t="s">
        <v>35</v>
      </c>
      <c r="F399" s="2" t="s">
        <v>27</v>
      </c>
      <c r="G399" s="2" t="s">
        <v>33</v>
      </c>
      <c r="H399" s="2" t="n">
        <v>4</v>
      </c>
      <c r="I399" s="2" t="str">
        <f aca="false">IF(C399="","Open","Resolved")</f>
        <v>Resolved</v>
      </c>
      <c r="J399" s="2" t="str">
        <f aca="false">TEXT(B399,"yyyy-mm")</f>
        <v>2026-03</v>
      </c>
      <c r="K399" s="8" t="n">
        <f aca="false">IF(C399="","",ROUND((C399-B399)*24,2))</f>
        <v>14.82</v>
      </c>
      <c r="L399" s="2" t="n">
        <f aca="false">INDEX('SLA Policy'!$B$2:$B$5,MATCH(E399,'SLA Policy'!$A$2:$A$5,0))</f>
        <v>24</v>
      </c>
      <c r="M399" s="2" t="str">
        <f aca="false">IF(K399="","Open",IF(K399&lt;=L399,"Yes","No"))</f>
        <v>Yes</v>
      </c>
    </row>
    <row r="400" customFormat="false" ht="15" hidden="false" customHeight="false" outlineLevel="0" collapsed="false">
      <c r="A400" s="2" t="s">
        <v>434</v>
      </c>
      <c r="B400" s="7" t="n">
        <v>46085.3979166667</v>
      </c>
      <c r="C400" s="7" t="n">
        <v>46085.7027777778</v>
      </c>
      <c r="D400" s="2" t="s">
        <v>31</v>
      </c>
      <c r="E400" s="2" t="s">
        <v>23</v>
      </c>
      <c r="F400" s="2" t="s">
        <v>27</v>
      </c>
      <c r="G400" s="2" t="s">
        <v>33</v>
      </c>
      <c r="H400" s="2" t="n">
        <v>5</v>
      </c>
      <c r="I400" s="2" t="str">
        <f aca="false">IF(C400="","Open","Resolved")</f>
        <v>Resolved</v>
      </c>
      <c r="J400" s="2" t="str">
        <f aca="false">TEXT(B400,"yyyy-mm")</f>
        <v>2026-03</v>
      </c>
      <c r="K400" s="8" t="n">
        <f aca="false">IF(C400="","",ROUND((C400-B400)*24,2))</f>
        <v>7.32</v>
      </c>
      <c r="L400" s="2" t="n">
        <f aca="false">INDEX('SLA Policy'!$B$2:$B$5,MATCH(E400,'SLA Policy'!$A$2:$A$5,0))</f>
        <v>8</v>
      </c>
      <c r="M400" s="2" t="str">
        <f aca="false">IF(K400="","Open",IF(K400&lt;=L400,"Yes","No"))</f>
        <v>Yes</v>
      </c>
    </row>
    <row r="401" customFormat="false" ht="15" hidden="false" customHeight="false" outlineLevel="0" collapsed="false">
      <c r="A401" s="2" t="s">
        <v>435</v>
      </c>
      <c r="B401" s="7" t="n">
        <v>46085.4708333333</v>
      </c>
      <c r="C401" s="7" t="n">
        <v>46086.0486111111</v>
      </c>
      <c r="D401" s="2" t="s">
        <v>42</v>
      </c>
      <c r="E401" s="2" t="s">
        <v>35</v>
      </c>
      <c r="F401" s="2" t="s">
        <v>38</v>
      </c>
      <c r="G401" s="2" t="s">
        <v>29</v>
      </c>
      <c r="H401" s="2" t="n">
        <v>5</v>
      </c>
      <c r="I401" s="2" t="str">
        <f aca="false">IF(C401="","Open","Resolved")</f>
        <v>Resolved</v>
      </c>
      <c r="J401" s="2" t="str">
        <f aca="false">TEXT(B401,"yyyy-mm")</f>
        <v>2026-03</v>
      </c>
      <c r="K401" s="8" t="n">
        <f aca="false">IF(C401="","",ROUND((C401-B401)*24,2))</f>
        <v>13.87</v>
      </c>
      <c r="L401" s="2" t="n">
        <f aca="false">INDEX('SLA Policy'!$B$2:$B$5,MATCH(E401,'SLA Policy'!$A$2:$A$5,0))</f>
        <v>24</v>
      </c>
      <c r="M401" s="2" t="str">
        <f aca="false">IF(K401="","Open",IF(K401&lt;=L401,"Yes","No"))</f>
        <v>Yes</v>
      </c>
    </row>
    <row r="402" customFormat="false" ht="15" hidden="false" customHeight="false" outlineLevel="0" collapsed="false">
      <c r="A402" s="2" t="s">
        <v>436</v>
      </c>
      <c r="B402" s="7" t="n">
        <v>46085.5027777778</v>
      </c>
      <c r="C402" s="7" t="n">
        <v>46086.9069444445</v>
      </c>
      <c r="D402" s="2" t="s">
        <v>31</v>
      </c>
      <c r="E402" s="2" t="s">
        <v>32</v>
      </c>
      <c r="F402" s="2" t="s">
        <v>38</v>
      </c>
      <c r="G402" s="2" t="s">
        <v>33</v>
      </c>
      <c r="H402" s="2" t="n">
        <v>3</v>
      </c>
      <c r="I402" s="2" t="str">
        <f aca="false">IF(C402="","Open","Resolved")</f>
        <v>Resolved</v>
      </c>
      <c r="J402" s="2" t="str">
        <f aca="false">TEXT(B402,"yyyy-mm")</f>
        <v>2026-03</v>
      </c>
      <c r="K402" s="8" t="n">
        <f aca="false">IF(C402="","",ROUND((C402-B402)*24,2))</f>
        <v>33.7</v>
      </c>
      <c r="L402" s="2" t="n">
        <f aca="false">INDEX('SLA Policy'!$B$2:$B$5,MATCH(E402,'SLA Policy'!$A$2:$A$5,0))</f>
        <v>72</v>
      </c>
      <c r="M402" s="2" t="str">
        <f aca="false">IF(K402="","Open",IF(K402&lt;=L402,"Yes","No"))</f>
        <v>Yes</v>
      </c>
    </row>
    <row r="403" customFormat="false" ht="15" hidden="false" customHeight="false" outlineLevel="0" collapsed="false">
      <c r="A403" s="2" t="s">
        <v>437</v>
      </c>
      <c r="B403" s="7" t="n">
        <v>46085.5958333333</v>
      </c>
      <c r="C403" s="7" t="n">
        <v>46085.9854166667</v>
      </c>
      <c r="D403" s="2" t="s">
        <v>31</v>
      </c>
      <c r="E403" s="2" t="s">
        <v>35</v>
      </c>
      <c r="F403" s="2" t="s">
        <v>24</v>
      </c>
      <c r="G403" s="2" t="s">
        <v>33</v>
      </c>
      <c r="H403" s="2" t="n">
        <v>5</v>
      </c>
      <c r="I403" s="2" t="str">
        <f aca="false">IF(C403="","Open","Resolved")</f>
        <v>Resolved</v>
      </c>
      <c r="J403" s="2" t="str">
        <f aca="false">TEXT(B403,"yyyy-mm")</f>
        <v>2026-03</v>
      </c>
      <c r="K403" s="8" t="n">
        <f aca="false">IF(C403="","",ROUND((C403-B403)*24,2))</f>
        <v>9.35</v>
      </c>
      <c r="L403" s="2" t="n">
        <f aca="false">INDEX('SLA Policy'!$B$2:$B$5,MATCH(E403,'SLA Policy'!$A$2:$A$5,0))</f>
        <v>24</v>
      </c>
      <c r="M403" s="2" t="str">
        <f aca="false">IF(K403="","Open",IF(K403&lt;=L403,"Yes","No"))</f>
        <v>Yes</v>
      </c>
    </row>
    <row r="404" customFormat="false" ht="15" hidden="false" customHeight="false" outlineLevel="0" collapsed="false">
      <c r="A404" s="2" t="s">
        <v>438</v>
      </c>
      <c r="B404" s="7" t="n">
        <v>46085.6034722222</v>
      </c>
      <c r="C404" s="7" t="n">
        <v>46088.0527777778</v>
      </c>
      <c r="D404" s="2" t="s">
        <v>31</v>
      </c>
      <c r="E404" s="2" t="s">
        <v>32</v>
      </c>
      <c r="F404" s="2" t="s">
        <v>27</v>
      </c>
      <c r="G404" s="2" t="s">
        <v>33</v>
      </c>
      <c r="H404" s="2" t="n">
        <v>3</v>
      </c>
      <c r="I404" s="2" t="str">
        <f aca="false">IF(C404="","Open","Resolved")</f>
        <v>Resolved</v>
      </c>
      <c r="J404" s="2" t="str">
        <f aca="false">TEXT(B404,"yyyy-mm")</f>
        <v>2026-03</v>
      </c>
      <c r="K404" s="8" t="n">
        <f aca="false">IF(C404="","",ROUND((C404-B404)*24,2))</f>
        <v>58.78</v>
      </c>
      <c r="L404" s="2" t="n">
        <f aca="false">INDEX('SLA Policy'!$B$2:$B$5,MATCH(E404,'SLA Policy'!$A$2:$A$5,0))</f>
        <v>72</v>
      </c>
      <c r="M404" s="2" t="str">
        <f aca="false">IF(K404="","Open",IF(K404&lt;=L404,"Yes","No"))</f>
        <v>Yes</v>
      </c>
    </row>
    <row r="405" customFormat="false" ht="15" hidden="false" customHeight="false" outlineLevel="0" collapsed="false">
      <c r="A405" s="2" t="s">
        <v>439</v>
      </c>
      <c r="B405" s="7" t="n">
        <v>46085.6416666667</v>
      </c>
      <c r="C405" s="7" t="n">
        <v>46088.2395833333</v>
      </c>
      <c r="D405" s="2" t="s">
        <v>31</v>
      </c>
      <c r="E405" s="2" t="s">
        <v>32</v>
      </c>
      <c r="F405" s="2" t="s">
        <v>28</v>
      </c>
      <c r="G405" s="2" t="s">
        <v>33</v>
      </c>
      <c r="H405" s="2" t="n">
        <v>2</v>
      </c>
      <c r="I405" s="2" t="str">
        <f aca="false">IF(C405="","Open","Resolved")</f>
        <v>Resolved</v>
      </c>
      <c r="J405" s="2" t="str">
        <f aca="false">TEXT(B405,"yyyy-mm")</f>
        <v>2026-03</v>
      </c>
      <c r="K405" s="8" t="n">
        <f aca="false">IF(C405="","",ROUND((C405-B405)*24,2))</f>
        <v>62.35</v>
      </c>
      <c r="L405" s="2" t="n">
        <f aca="false">INDEX('SLA Policy'!$B$2:$B$5,MATCH(E405,'SLA Policy'!$A$2:$A$5,0))</f>
        <v>72</v>
      </c>
      <c r="M405" s="2" t="str">
        <f aca="false">IF(K405="","Open",IF(K405&lt;=L405,"Yes","No"))</f>
        <v>Yes</v>
      </c>
    </row>
    <row r="406" customFormat="false" ht="15" hidden="false" customHeight="false" outlineLevel="0" collapsed="false">
      <c r="A406" s="2" t="s">
        <v>440</v>
      </c>
      <c r="B406" s="7" t="n">
        <v>46085.6541666667</v>
      </c>
      <c r="C406" s="7" t="n">
        <v>46085.9298611111</v>
      </c>
      <c r="D406" s="2" t="s">
        <v>48</v>
      </c>
      <c r="E406" s="2" t="s">
        <v>23</v>
      </c>
      <c r="F406" s="2" t="s">
        <v>24</v>
      </c>
      <c r="G406" s="2" t="s">
        <v>25</v>
      </c>
      <c r="H406" s="2" t="n">
        <v>4</v>
      </c>
      <c r="I406" s="2" t="str">
        <f aca="false">IF(C406="","Open","Resolved")</f>
        <v>Resolved</v>
      </c>
      <c r="J406" s="2" t="str">
        <f aca="false">TEXT(B406,"yyyy-mm")</f>
        <v>2026-03</v>
      </c>
      <c r="K406" s="8" t="n">
        <f aca="false">IF(C406="","",ROUND((C406-B406)*24,2))</f>
        <v>6.62</v>
      </c>
      <c r="L406" s="2" t="n">
        <f aca="false">INDEX('SLA Policy'!$B$2:$B$5,MATCH(E406,'SLA Policy'!$A$2:$A$5,0))</f>
        <v>8</v>
      </c>
      <c r="M406" s="2" t="str">
        <f aca="false">IF(K406="","Open",IF(K406&lt;=L406,"Yes","No"))</f>
        <v>Yes</v>
      </c>
    </row>
    <row r="407" customFormat="false" ht="15" hidden="false" customHeight="false" outlineLevel="0" collapsed="false">
      <c r="A407" s="2" t="s">
        <v>441</v>
      </c>
      <c r="B407" s="7" t="n">
        <v>46086.4701388889</v>
      </c>
      <c r="C407" s="7" t="n">
        <v>46087.45625</v>
      </c>
      <c r="D407" s="2" t="s">
        <v>31</v>
      </c>
      <c r="E407" s="2" t="s">
        <v>35</v>
      </c>
      <c r="F407" s="2" t="s">
        <v>27</v>
      </c>
      <c r="G407" s="2" t="s">
        <v>33</v>
      </c>
      <c r="H407" s="2" t="n">
        <v>5</v>
      </c>
      <c r="I407" s="2" t="str">
        <f aca="false">IF(C407="","Open","Resolved")</f>
        <v>Resolved</v>
      </c>
      <c r="J407" s="2" t="str">
        <f aca="false">TEXT(B407,"yyyy-mm")</f>
        <v>2026-03</v>
      </c>
      <c r="K407" s="8" t="n">
        <f aca="false">IF(C407="","",ROUND((C407-B407)*24,2))</f>
        <v>23.67</v>
      </c>
      <c r="L407" s="2" t="n">
        <f aca="false">INDEX('SLA Policy'!$B$2:$B$5,MATCH(E407,'SLA Policy'!$A$2:$A$5,0))</f>
        <v>24</v>
      </c>
      <c r="M407" s="2" t="str">
        <f aca="false">IF(K407="","Open",IF(K407&lt;=L407,"Yes","No"))</f>
        <v>Yes</v>
      </c>
    </row>
    <row r="408" customFormat="false" ht="15" hidden="false" customHeight="false" outlineLevel="0" collapsed="false">
      <c r="A408" s="2" t="s">
        <v>442</v>
      </c>
      <c r="B408" s="7" t="n">
        <v>46086.5041666667</v>
      </c>
      <c r="C408" s="7" t="n">
        <v>46086.8</v>
      </c>
      <c r="D408" s="2" t="s">
        <v>27</v>
      </c>
      <c r="E408" s="2" t="s">
        <v>23</v>
      </c>
      <c r="F408" s="2" t="s">
        <v>27</v>
      </c>
      <c r="G408" s="2" t="s">
        <v>29</v>
      </c>
      <c r="H408" s="2" t="n">
        <v>4</v>
      </c>
      <c r="I408" s="2" t="str">
        <f aca="false">IF(C408="","Open","Resolved")</f>
        <v>Resolved</v>
      </c>
      <c r="J408" s="2" t="str">
        <f aca="false">TEXT(B408,"yyyy-mm")</f>
        <v>2026-03</v>
      </c>
      <c r="K408" s="8" t="n">
        <f aca="false">IF(C408="","",ROUND((C408-B408)*24,2))</f>
        <v>7.1</v>
      </c>
      <c r="L408" s="2" t="n">
        <f aca="false">INDEX('SLA Policy'!$B$2:$B$5,MATCH(E408,'SLA Policy'!$A$2:$A$5,0))</f>
        <v>8</v>
      </c>
      <c r="M408" s="2" t="str">
        <f aca="false">IF(K408="","Open",IF(K408&lt;=L408,"Yes","No"))</f>
        <v>Yes</v>
      </c>
    </row>
    <row r="409" customFormat="false" ht="15" hidden="false" customHeight="false" outlineLevel="0" collapsed="false">
      <c r="A409" s="2" t="s">
        <v>443</v>
      </c>
      <c r="B409" s="7" t="n">
        <v>46086.5243055556</v>
      </c>
      <c r="C409" s="7" t="n">
        <v>46086.675</v>
      </c>
      <c r="D409" s="2" t="s">
        <v>42</v>
      </c>
      <c r="E409" s="2" t="s">
        <v>23</v>
      </c>
      <c r="F409" s="2" t="s">
        <v>24</v>
      </c>
      <c r="G409" s="2" t="s">
        <v>29</v>
      </c>
      <c r="H409" s="2" t="n">
        <v>5</v>
      </c>
      <c r="I409" s="2" t="str">
        <f aca="false">IF(C409="","Open","Resolved")</f>
        <v>Resolved</v>
      </c>
      <c r="J409" s="2" t="str">
        <f aca="false">TEXT(B409,"yyyy-mm")</f>
        <v>2026-03</v>
      </c>
      <c r="K409" s="8" t="n">
        <f aca="false">IF(C409="","",ROUND((C409-B409)*24,2))</f>
        <v>3.62</v>
      </c>
      <c r="L409" s="2" t="n">
        <f aca="false">INDEX('SLA Policy'!$B$2:$B$5,MATCH(E409,'SLA Policy'!$A$2:$A$5,0))</f>
        <v>8</v>
      </c>
      <c r="M409" s="2" t="str">
        <f aca="false">IF(K409="","Open",IF(K409&lt;=L409,"Yes","No"))</f>
        <v>Yes</v>
      </c>
    </row>
    <row r="410" customFormat="false" ht="15" hidden="false" customHeight="false" outlineLevel="0" collapsed="false">
      <c r="A410" s="2" t="s">
        <v>444</v>
      </c>
      <c r="B410" s="7" t="n">
        <v>46086.5847222222</v>
      </c>
      <c r="C410" s="7" t="n">
        <v>46087.4715277778</v>
      </c>
      <c r="D410" s="2" t="s">
        <v>42</v>
      </c>
      <c r="E410" s="2" t="s">
        <v>32</v>
      </c>
      <c r="F410" s="2" t="s">
        <v>24</v>
      </c>
      <c r="G410" s="2" t="s">
        <v>29</v>
      </c>
      <c r="H410" s="2" t="n">
        <v>5</v>
      </c>
      <c r="I410" s="2" t="str">
        <f aca="false">IF(C410="","Open","Resolved")</f>
        <v>Resolved</v>
      </c>
      <c r="J410" s="2" t="str">
        <f aca="false">TEXT(B410,"yyyy-mm")</f>
        <v>2026-03</v>
      </c>
      <c r="K410" s="8" t="n">
        <f aca="false">IF(C410="","",ROUND((C410-B410)*24,2))</f>
        <v>21.28</v>
      </c>
      <c r="L410" s="2" t="n">
        <f aca="false">INDEX('SLA Policy'!$B$2:$B$5,MATCH(E410,'SLA Policy'!$A$2:$A$5,0))</f>
        <v>72</v>
      </c>
      <c r="M410" s="2" t="str">
        <f aca="false">IF(K410="","Open",IF(K410&lt;=L410,"Yes","No"))</f>
        <v>Yes</v>
      </c>
    </row>
    <row r="411" customFormat="false" ht="15" hidden="false" customHeight="false" outlineLevel="0" collapsed="false">
      <c r="A411" s="2" t="s">
        <v>445</v>
      </c>
      <c r="B411" s="7" t="n">
        <v>46086.5854166667</v>
      </c>
      <c r="C411" s="7" t="n">
        <v>46087.1020833333</v>
      </c>
      <c r="D411" s="2" t="s">
        <v>48</v>
      </c>
      <c r="E411" s="2" t="s">
        <v>40</v>
      </c>
      <c r="F411" s="2" t="s">
        <v>27</v>
      </c>
      <c r="G411" s="2" t="s">
        <v>25</v>
      </c>
      <c r="H411" s="2" t="n">
        <v>5</v>
      </c>
      <c r="I411" s="2" t="str">
        <f aca="false">IF(C411="","Open","Resolved")</f>
        <v>Resolved</v>
      </c>
      <c r="J411" s="2" t="str">
        <f aca="false">TEXT(B411,"yyyy-mm")</f>
        <v>2026-03</v>
      </c>
      <c r="K411" s="8" t="n">
        <f aca="false">IF(C411="","",ROUND((C411-B411)*24,2))</f>
        <v>12.4</v>
      </c>
      <c r="L411" s="2" t="n">
        <f aca="false">INDEX('SLA Policy'!$B$2:$B$5,MATCH(E411,'SLA Policy'!$A$2:$A$5,0))</f>
        <v>4</v>
      </c>
      <c r="M411" s="2" t="str">
        <f aca="false">IF(K411="","Open",IF(K411&lt;=L411,"Yes","No"))</f>
        <v>No</v>
      </c>
    </row>
    <row r="412" customFormat="false" ht="15" hidden="false" customHeight="false" outlineLevel="0" collapsed="false">
      <c r="A412" s="2" t="s">
        <v>446</v>
      </c>
      <c r="B412" s="7" t="n">
        <v>46086.5986111111</v>
      </c>
      <c r="C412" s="7" t="n">
        <v>46086.8527777778</v>
      </c>
      <c r="D412" s="2" t="s">
        <v>31</v>
      </c>
      <c r="E412" s="2" t="s">
        <v>23</v>
      </c>
      <c r="F412" s="2" t="s">
        <v>24</v>
      </c>
      <c r="G412" s="2" t="s">
        <v>33</v>
      </c>
      <c r="H412" s="2" t="n">
        <v>5</v>
      </c>
      <c r="I412" s="2" t="str">
        <f aca="false">IF(C412="","Open","Resolved")</f>
        <v>Resolved</v>
      </c>
      <c r="J412" s="2" t="str">
        <f aca="false">TEXT(B412,"yyyy-mm")</f>
        <v>2026-03</v>
      </c>
      <c r="K412" s="8" t="n">
        <f aca="false">IF(C412="","",ROUND((C412-B412)*24,2))</f>
        <v>6.1</v>
      </c>
      <c r="L412" s="2" t="n">
        <f aca="false">INDEX('SLA Policy'!$B$2:$B$5,MATCH(E412,'SLA Policy'!$A$2:$A$5,0))</f>
        <v>8</v>
      </c>
      <c r="M412" s="2" t="str">
        <f aca="false">IF(K412="","Open",IF(K412&lt;=L412,"Yes","No"))</f>
        <v>Yes</v>
      </c>
    </row>
    <row r="413" customFormat="false" ht="15" hidden="false" customHeight="false" outlineLevel="0" collapsed="false">
      <c r="A413" s="2" t="s">
        <v>447</v>
      </c>
      <c r="B413" s="7" t="n">
        <v>46086.6694444444</v>
      </c>
      <c r="C413" s="7" t="n">
        <v>46087.4236111111</v>
      </c>
      <c r="D413" s="2" t="s">
        <v>48</v>
      </c>
      <c r="E413" s="2" t="s">
        <v>35</v>
      </c>
      <c r="F413" s="2" t="s">
        <v>28</v>
      </c>
      <c r="G413" s="2" t="s">
        <v>25</v>
      </c>
      <c r="H413" s="2" t="n">
        <v>5</v>
      </c>
      <c r="I413" s="2" t="str">
        <f aca="false">IF(C413="","Open","Resolved")</f>
        <v>Resolved</v>
      </c>
      <c r="J413" s="2" t="str">
        <f aca="false">TEXT(B413,"yyyy-mm")</f>
        <v>2026-03</v>
      </c>
      <c r="K413" s="8" t="n">
        <f aca="false">IF(C413="","",ROUND((C413-B413)*24,2))</f>
        <v>18.1</v>
      </c>
      <c r="L413" s="2" t="n">
        <f aca="false">INDEX('SLA Policy'!$B$2:$B$5,MATCH(E413,'SLA Policy'!$A$2:$A$5,0))</f>
        <v>24</v>
      </c>
      <c r="M413" s="2" t="str">
        <f aca="false">IF(K413="","Open",IF(K413&lt;=L413,"Yes","No"))</f>
        <v>Yes</v>
      </c>
    </row>
    <row r="414" customFormat="false" ht="15" hidden="false" customHeight="false" outlineLevel="0" collapsed="false">
      <c r="A414" s="2" t="s">
        <v>448</v>
      </c>
      <c r="B414" s="7" t="n">
        <v>46086.6847222222</v>
      </c>
      <c r="C414" s="7" t="n">
        <v>46088.89375</v>
      </c>
      <c r="D414" s="2" t="s">
        <v>31</v>
      </c>
      <c r="E414" s="2" t="s">
        <v>35</v>
      </c>
      <c r="F414" s="2" t="s">
        <v>24</v>
      </c>
      <c r="G414" s="2" t="s">
        <v>33</v>
      </c>
      <c r="H414" s="2" t="n">
        <v>5</v>
      </c>
      <c r="I414" s="2" t="str">
        <f aca="false">IF(C414="","Open","Resolved")</f>
        <v>Resolved</v>
      </c>
      <c r="J414" s="2" t="str">
        <f aca="false">TEXT(B414,"yyyy-mm")</f>
        <v>2026-03</v>
      </c>
      <c r="K414" s="8" t="n">
        <f aca="false">IF(C414="","",ROUND((C414-B414)*24,2))</f>
        <v>53.02</v>
      </c>
      <c r="L414" s="2" t="n">
        <f aca="false">INDEX('SLA Policy'!$B$2:$B$5,MATCH(E414,'SLA Policy'!$A$2:$A$5,0))</f>
        <v>24</v>
      </c>
      <c r="M414" s="2" t="str">
        <f aca="false">IF(K414="","Open",IF(K414&lt;=L414,"Yes","No"))</f>
        <v>No</v>
      </c>
    </row>
    <row r="415" customFormat="false" ht="15" hidden="false" customHeight="false" outlineLevel="0" collapsed="false">
      <c r="A415" s="2" t="s">
        <v>449</v>
      </c>
      <c r="B415" s="7" t="n">
        <v>46086.70625</v>
      </c>
      <c r="C415" s="7" t="n">
        <v>46088.2715277778</v>
      </c>
      <c r="D415" s="2" t="s">
        <v>22</v>
      </c>
      <c r="E415" s="2" t="s">
        <v>35</v>
      </c>
      <c r="F415" s="2" t="s">
        <v>24</v>
      </c>
      <c r="G415" s="2" t="s">
        <v>25</v>
      </c>
      <c r="H415" s="2" t="n">
        <v>3</v>
      </c>
      <c r="I415" s="2" t="str">
        <f aca="false">IF(C415="","Open","Resolved")</f>
        <v>Resolved</v>
      </c>
      <c r="J415" s="2" t="str">
        <f aca="false">TEXT(B415,"yyyy-mm")</f>
        <v>2026-03</v>
      </c>
      <c r="K415" s="8" t="n">
        <f aca="false">IF(C415="","",ROUND((C415-B415)*24,2))</f>
        <v>37.57</v>
      </c>
      <c r="L415" s="2" t="n">
        <f aca="false">INDEX('SLA Policy'!$B$2:$B$5,MATCH(E415,'SLA Policy'!$A$2:$A$5,0))</f>
        <v>24</v>
      </c>
      <c r="M415" s="2" t="str">
        <f aca="false">IF(K415="","Open",IF(K415&lt;=L415,"Yes","No"))</f>
        <v>No</v>
      </c>
    </row>
    <row r="416" customFormat="false" ht="15" hidden="false" customHeight="false" outlineLevel="0" collapsed="false">
      <c r="A416" s="2" t="s">
        <v>450</v>
      </c>
      <c r="B416" s="7" t="n">
        <v>46087.3888888889</v>
      </c>
      <c r="C416" s="7" t="n">
        <v>46088.8972222222</v>
      </c>
      <c r="D416" s="2" t="s">
        <v>31</v>
      </c>
      <c r="E416" s="2" t="s">
        <v>32</v>
      </c>
      <c r="F416" s="2" t="s">
        <v>28</v>
      </c>
      <c r="G416" s="2" t="s">
        <v>33</v>
      </c>
      <c r="H416" s="2" t="n">
        <v>3</v>
      </c>
      <c r="I416" s="2" t="str">
        <f aca="false">IF(C416="","Open","Resolved")</f>
        <v>Resolved</v>
      </c>
      <c r="J416" s="2" t="str">
        <f aca="false">TEXT(B416,"yyyy-mm")</f>
        <v>2026-03</v>
      </c>
      <c r="K416" s="8" t="n">
        <f aca="false">IF(C416="","",ROUND((C416-B416)*24,2))</f>
        <v>36.2</v>
      </c>
      <c r="L416" s="2" t="n">
        <f aca="false">INDEX('SLA Policy'!$B$2:$B$5,MATCH(E416,'SLA Policy'!$A$2:$A$5,0))</f>
        <v>72</v>
      </c>
      <c r="M416" s="2" t="str">
        <f aca="false">IF(K416="","Open",IF(K416&lt;=L416,"Yes","No"))</f>
        <v>Yes</v>
      </c>
    </row>
    <row r="417" customFormat="false" ht="15" hidden="false" customHeight="false" outlineLevel="0" collapsed="false">
      <c r="A417" s="2" t="s">
        <v>451</v>
      </c>
      <c r="B417" s="7" t="n">
        <v>46087.3958333333</v>
      </c>
      <c r="C417" s="7" t="n">
        <v>46088.4625</v>
      </c>
      <c r="D417" s="2" t="s">
        <v>31</v>
      </c>
      <c r="E417" s="2" t="s">
        <v>35</v>
      </c>
      <c r="F417" s="2" t="s">
        <v>24</v>
      </c>
      <c r="G417" s="2" t="s">
        <v>33</v>
      </c>
      <c r="H417" s="2" t="n">
        <v>5</v>
      </c>
      <c r="I417" s="2" t="str">
        <f aca="false">IF(C417="","Open","Resolved")</f>
        <v>Resolved</v>
      </c>
      <c r="J417" s="2" t="str">
        <f aca="false">TEXT(B417,"yyyy-mm")</f>
        <v>2026-03</v>
      </c>
      <c r="K417" s="8" t="n">
        <f aca="false">IF(C417="","",ROUND((C417-B417)*24,2))</f>
        <v>25.6</v>
      </c>
      <c r="L417" s="2" t="n">
        <f aca="false">INDEX('SLA Policy'!$B$2:$B$5,MATCH(E417,'SLA Policy'!$A$2:$A$5,0))</f>
        <v>24</v>
      </c>
      <c r="M417" s="2" t="str">
        <f aca="false">IF(K417="","Open",IF(K417&lt;=L417,"Yes","No"))</f>
        <v>No</v>
      </c>
    </row>
    <row r="418" customFormat="false" ht="15" hidden="false" customHeight="false" outlineLevel="0" collapsed="false">
      <c r="A418" s="2" t="s">
        <v>452</v>
      </c>
      <c r="B418" s="7" t="n">
        <v>46087.4131944445</v>
      </c>
      <c r="C418" s="7" t="n">
        <v>46088.8666666667</v>
      </c>
      <c r="D418" s="2" t="s">
        <v>22</v>
      </c>
      <c r="E418" s="2" t="s">
        <v>35</v>
      </c>
      <c r="F418" s="2" t="s">
        <v>27</v>
      </c>
      <c r="G418" s="2" t="s">
        <v>25</v>
      </c>
      <c r="H418" s="2" t="n">
        <v>4</v>
      </c>
      <c r="I418" s="2" t="str">
        <f aca="false">IF(C418="","Open","Resolved")</f>
        <v>Resolved</v>
      </c>
      <c r="J418" s="2" t="str">
        <f aca="false">TEXT(B418,"yyyy-mm")</f>
        <v>2026-03</v>
      </c>
      <c r="K418" s="8" t="n">
        <f aca="false">IF(C418="","",ROUND((C418-B418)*24,2))</f>
        <v>34.88</v>
      </c>
      <c r="L418" s="2" t="n">
        <f aca="false">INDEX('SLA Policy'!$B$2:$B$5,MATCH(E418,'SLA Policy'!$A$2:$A$5,0))</f>
        <v>24</v>
      </c>
      <c r="M418" s="2" t="str">
        <f aca="false">IF(K418="","Open",IF(K418&lt;=L418,"Yes","No"))</f>
        <v>No</v>
      </c>
    </row>
    <row r="419" customFormat="false" ht="15" hidden="false" customHeight="false" outlineLevel="0" collapsed="false">
      <c r="A419" s="2" t="s">
        <v>453</v>
      </c>
      <c r="B419" s="7" t="n">
        <v>46087.4416666667</v>
      </c>
      <c r="C419" s="7" t="n">
        <v>46088.1625</v>
      </c>
      <c r="D419" s="2" t="s">
        <v>31</v>
      </c>
      <c r="E419" s="2" t="s">
        <v>32</v>
      </c>
      <c r="F419" s="2" t="s">
        <v>27</v>
      </c>
      <c r="G419" s="2" t="s">
        <v>33</v>
      </c>
      <c r="H419" s="2" t="n">
        <v>5</v>
      </c>
      <c r="I419" s="2" t="str">
        <f aca="false">IF(C419="","Open","Resolved")</f>
        <v>Resolved</v>
      </c>
      <c r="J419" s="2" t="str">
        <f aca="false">TEXT(B419,"yyyy-mm")</f>
        <v>2026-03</v>
      </c>
      <c r="K419" s="8" t="n">
        <f aca="false">IF(C419="","",ROUND((C419-B419)*24,2))</f>
        <v>17.3</v>
      </c>
      <c r="L419" s="2" t="n">
        <f aca="false">INDEX('SLA Policy'!$B$2:$B$5,MATCH(E419,'SLA Policy'!$A$2:$A$5,0))</f>
        <v>72</v>
      </c>
      <c r="M419" s="2" t="str">
        <f aca="false">IF(K419="","Open",IF(K419&lt;=L419,"Yes","No"))</f>
        <v>Yes</v>
      </c>
    </row>
    <row r="420" customFormat="false" ht="15" hidden="false" customHeight="false" outlineLevel="0" collapsed="false">
      <c r="A420" s="2" t="s">
        <v>454</v>
      </c>
      <c r="B420" s="7" t="n">
        <v>46087.4506944444</v>
      </c>
      <c r="C420" s="7" t="n">
        <v>46091.3666666667</v>
      </c>
      <c r="D420" s="2" t="s">
        <v>31</v>
      </c>
      <c r="E420" s="2" t="s">
        <v>32</v>
      </c>
      <c r="F420" s="2" t="s">
        <v>27</v>
      </c>
      <c r="G420" s="2" t="s">
        <v>33</v>
      </c>
      <c r="H420" s="2" t="n">
        <v>1</v>
      </c>
      <c r="I420" s="2" t="str">
        <f aca="false">IF(C420="","Open","Resolved")</f>
        <v>Resolved</v>
      </c>
      <c r="J420" s="2" t="str">
        <f aca="false">TEXT(B420,"yyyy-mm")</f>
        <v>2026-03</v>
      </c>
      <c r="K420" s="8" t="n">
        <f aca="false">IF(C420="","",ROUND((C420-B420)*24,2))</f>
        <v>93.98</v>
      </c>
      <c r="L420" s="2" t="n">
        <f aca="false">INDEX('SLA Policy'!$B$2:$B$5,MATCH(E420,'SLA Policy'!$A$2:$A$5,0))</f>
        <v>72</v>
      </c>
      <c r="M420" s="2" t="str">
        <f aca="false">IF(K420="","Open",IF(K420&lt;=L420,"Yes","No"))</f>
        <v>No</v>
      </c>
    </row>
    <row r="421" customFormat="false" ht="15" hidden="false" customHeight="false" outlineLevel="0" collapsed="false">
      <c r="A421" s="2" t="s">
        <v>455</v>
      </c>
      <c r="B421" s="7" t="n">
        <v>46087.4659722222</v>
      </c>
      <c r="C421" s="7" t="n">
        <v>46087.7909722222</v>
      </c>
      <c r="D421" s="2" t="s">
        <v>31</v>
      </c>
      <c r="E421" s="2" t="s">
        <v>35</v>
      </c>
      <c r="F421" s="2" t="s">
        <v>24</v>
      </c>
      <c r="G421" s="2" t="s">
        <v>33</v>
      </c>
      <c r="H421" s="2" t="n">
        <v>4</v>
      </c>
      <c r="I421" s="2" t="str">
        <f aca="false">IF(C421="","Open","Resolved")</f>
        <v>Resolved</v>
      </c>
      <c r="J421" s="2" t="str">
        <f aca="false">TEXT(B421,"yyyy-mm")</f>
        <v>2026-03</v>
      </c>
      <c r="K421" s="8" t="n">
        <f aca="false">IF(C421="","",ROUND((C421-B421)*24,2))</f>
        <v>7.8</v>
      </c>
      <c r="L421" s="2" t="n">
        <f aca="false">INDEX('SLA Policy'!$B$2:$B$5,MATCH(E421,'SLA Policy'!$A$2:$A$5,0))</f>
        <v>24</v>
      </c>
      <c r="M421" s="2" t="str">
        <f aca="false">IF(K421="","Open",IF(K421&lt;=L421,"Yes","No"))</f>
        <v>Yes</v>
      </c>
    </row>
    <row r="422" customFormat="false" ht="15" hidden="false" customHeight="false" outlineLevel="0" collapsed="false">
      <c r="A422" s="2" t="s">
        <v>456</v>
      </c>
      <c r="B422" s="7" t="n">
        <v>46087.4902777778</v>
      </c>
      <c r="C422" s="7" t="n">
        <v>46088.8347222222</v>
      </c>
      <c r="D422" s="2" t="s">
        <v>31</v>
      </c>
      <c r="E422" s="2" t="s">
        <v>32</v>
      </c>
      <c r="F422" s="2" t="s">
        <v>38</v>
      </c>
      <c r="G422" s="2" t="s">
        <v>33</v>
      </c>
      <c r="H422" s="2" t="n">
        <v>4</v>
      </c>
      <c r="I422" s="2" t="str">
        <f aca="false">IF(C422="","Open","Resolved")</f>
        <v>Resolved</v>
      </c>
      <c r="J422" s="2" t="str">
        <f aca="false">TEXT(B422,"yyyy-mm")</f>
        <v>2026-03</v>
      </c>
      <c r="K422" s="8" t="n">
        <f aca="false">IF(C422="","",ROUND((C422-B422)*24,2))</f>
        <v>32.27</v>
      </c>
      <c r="L422" s="2" t="n">
        <f aca="false">INDEX('SLA Policy'!$B$2:$B$5,MATCH(E422,'SLA Policy'!$A$2:$A$5,0))</f>
        <v>72</v>
      </c>
      <c r="M422" s="2" t="str">
        <f aca="false">IF(K422="","Open",IF(K422&lt;=L422,"Yes","No"))</f>
        <v>Yes</v>
      </c>
    </row>
    <row r="423" customFormat="false" ht="15" hidden="false" customHeight="false" outlineLevel="0" collapsed="false">
      <c r="A423" s="2" t="s">
        <v>457</v>
      </c>
      <c r="B423" s="7" t="n">
        <v>46087.5131944444</v>
      </c>
      <c r="C423" s="7" t="n">
        <v>46088.1736111111</v>
      </c>
      <c r="D423" s="2" t="s">
        <v>31</v>
      </c>
      <c r="E423" s="2" t="s">
        <v>35</v>
      </c>
      <c r="F423" s="2" t="s">
        <v>38</v>
      </c>
      <c r="G423" s="2" t="s">
        <v>33</v>
      </c>
      <c r="H423" s="2" t="n">
        <v>4</v>
      </c>
      <c r="I423" s="2" t="str">
        <f aca="false">IF(C423="","Open","Resolved")</f>
        <v>Resolved</v>
      </c>
      <c r="J423" s="2" t="str">
        <f aca="false">TEXT(B423,"yyyy-mm")</f>
        <v>2026-03</v>
      </c>
      <c r="K423" s="8" t="n">
        <f aca="false">IF(C423="","",ROUND((C423-B423)*24,2))</f>
        <v>15.85</v>
      </c>
      <c r="L423" s="2" t="n">
        <f aca="false">INDEX('SLA Policy'!$B$2:$B$5,MATCH(E423,'SLA Policy'!$A$2:$A$5,0))</f>
        <v>24</v>
      </c>
      <c r="M423" s="2" t="str">
        <f aca="false">IF(K423="","Open",IF(K423&lt;=L423,"Yes","No"))</f>
        <v>Yes</v>
      </c>
    </row>
    <row r="424" customFormat="false" ht="15" hidden="false" customHeight="false" outlineLevel="0" collapsed="false">
      <c r="A424" s="2" t="s">
        <v>458</v>
      </c>
      <c r="B424" s="7" t="n">
        <v>46087.51875</v>
      </c>
      <c r="C424" s="7" t="n">
        <v>46088.9826388889</v>
      </c>
      <c r="D424" s="2" t="s">
        <v>42</v>
      </c>
      <c r="E424" s="2" t="s">
        <v>32</v>
      </c>
      <c r="F424" s="2" t="s">
        <v>28</v>
      </c>
      <c r="G424" s="2" t="s">
        <v>29</v>
      </c>
      <c r="H424" s="2" t="n">
        <v>4</v>
      </c>
      <c r="I424" s="2" t="str">
        <f aca="false">IF(C424="","Open","Resolved")</f>
        <v>Resolved</v>
      </c>
      <c r="J424" s="2" t="str">
        <f aca="false">TEXT(B424,"yyyy-mm")</f>
        <v>2026-03</v>
      </c>
      <c r="K424" s="8" t="n">
        <f aca="false">IF(C424="","",ROUND((C424-B424)*24,2))</f>
        <v>35.13</v>
      </c>
      <c r="L424" s="2" t="n">
        <f aca="false">INDEX('SLA Policy'!$B$2:$B$5,MATCH(E424,'SLA Policy'!$A$2:$A$5,0))</f>
        <v>72</v>
      </c>
      <c r="M424" s="2" t="str">
        <f aca="false">IF(K424="","Open",IF(K424&lt;=L424,"Yes","No"))</f>
        <v>Yes</v>
      </c>
    </row>
    <row r="425" customFormat="false" ht="15" hidden="false" customHeight="false" outlineLevel="0" collapsed="false">
      <c r="A425" s="2" t="s">
        <v>459</v>
      </c>
      <c r="B425" s="7" t="n">
        <v>46087.60625</v>
      </c>
      <c r="C425" s="7" t="n">
        <v>46087.9916666667</v>
      </c>
      <c r="D425" s="2" t="s">
        <v>31</v>
      </c>
      <c r="E425" s="2" t="s">
        <v>35</v>
      </c>
      <c r="F425" s="2" t="s">
        <v>27</v>
      </c>
      <c r="G425" s="2" t="s">
        <v>33</v>
      </c>
      <c r="H425" s="2" t="n">
        <v>5</v>
      </c>
      <c r="I425" s="2" t="str">
        <f aca="false">IF(C425="","Open","Resolved")</f>
        <v>Resolved</v>
      </c>
      <c r="J425" s="2" t="str">
        <f aca="false">TEXT(B425,"yyyy-mm")</f>
        <v>2026-03</v>
      </c>
      <c r="K425" s="8" t="n">
        <f aca="false">IF(C425="","",ROUND((C425-B425)*24,2))</f>
        <v>9.25</v>
      </c>
      <c r="L425" s="2" t="n">
        <f aca="false">INDEX('SLA Policy'!$B$2:$B$5,MATCH(E425,'SLA Policy'!$A$2:$A$5,0))</f>
        <v>24</v>
      </c>
      <c r="M425" s="2" t="str">
        <f aca="false">IF(K425="","Open",IF(K425&lt;=L425,"Yes","No"))</f>
        <v>Yes</v>
      </c>
    </row>
    <row r="426" customFormat="false" ht="15" hidden="false" customHeight="false" outlineLevel="0" collapsed="false">
      <c r="A426" s="2" t="s">
        <v>460</v>
      </c>
      <c r="B426" s="7" t="n">
        <v>46087.6493055556</v>
      </c>
      <c r="C426" s="7" t="n">
        <v>46087.8305555556</v>
      </c>
      <c r="D426" s="2" t="s">
        <v>31</v>
      </c>
      <c r="E426" s="2" t="s">
        <v>40</v>
      </c>
      <c r="F426" s="2" t="s">
        <v>27</v>
      </c>
      <c r="G426" s="2" t="s">
        <v>33</v>
      </c>
      <c r="H426" s="2" t="n">
        <v>5</v>
      </c>
      <c r="I426" s="2" t="str">
        <f aca="false">IF(C426="","Open","Resolved")</f>
        <v>Resolved</v>
      </c>
      <c r="J426" s="2" t="str">
        <f aca="false">TEXT(B426,"yyyy-mm")</f>
        <v>2026-03</v>
      </c>
      <c r="K426" s="8" t="n">
        <f aca="false">IF(C426="","",ROUND((C426-B426)*24,2))</f>
        <v>4.35</v>
      </c>
      <c r="L426" s="2" t="n">
        <f aca="false">INDEX('SLA Policy'!$B$2:$B$5,MATCH(E426,'SLA Policy'!$A$2:$A$5,0))</f>
        <v>4</v>
      </c>
      <c r="M426" s="2" t="str">
        <f aca="false">IF(K426="","Open",IF(K426&lt;=L426,"Yes","No"))</f>
        <v>No</v>
      </c>
    </row>
    <row r="427" customFormat="false" ht="15" hidden="false" customHeight="false" outlineLevel="0" collapsed="false">
      <c r="A427" s="2" t="s">
        <v>461</v>
      </c>
      <c r="B427" s="7" t="n">
        <v>46087.675</v>
      </c>
      <c r="C427" s="7" t="n">
        <v>46088.9645833333</v>
      </c>
      <c r="D427" s="2" t="s">
        <v>48</v>
      </c>
      <c r="E427" s="2" t="s">
        <v>32</v>
      </c>
      <c r="F427" s="2" t="s">
        <v>24</v>
      </c>
      <c r="G427" s="2" t="s">
        <v>25</v>
      </c>
      <c r="H427" s="2" t="n">
        <v>4</v>
      </c>
      <c r="I427" s="2" t="str">
        <f aca="false">IF(C427="","Open","Resolved")</f>
        <v>Resolved</v>
      </c>
      <c r="J427" s="2" t="str">
        <f aca="false">TEXT(B427,"yyyy-mm")</f>
        <v>2026-03</v>
      </c>
      <c r="K427" s="8" t="n">
        <f aca="false">IF(C427="","",ROUND((C427-B427)*24,2))</f>
        <v>30.95</v>
      </c>
      <c r="L427" s="2" t="n">
        <f aca="false">INDEX('SLA Policy'!$B$2:$B$5,MATCH(E427,'SLA Policy'!$A$2:$A$5,0))</f>
        <v>72</v>
      </c>
      <c r="M427" s="2" t="str">
        <f aca="false">IF(K427="","Open",IF(K427&lt;=L427,"Yes","No"))</f>
        <v>Yes</v>
      </c>
    </row>
    <row r="428" customFormat="false" ht="15" hidden="false" customHeight="false" outlineLevel="0" collapsed="false">
      <c r="A428" s="2" t="s">
        <v>462</v>
      </c>
      <c r="B428" s="7" t="n">
        <v>46087.675</v>
      </c>
      <c r="C428" s="7" t="n">
        <v>46087.98125</v>
      </c>
      <c r="D428" s="2" t="s">
        <v>31</v>
      </c>
      <c r="E428" s="2" t="s">
        <v>23</v>
      </c>
      <c r="F428" s="2" t="s">
        <v>28</v>
      </c>
      <c r="G428" s="2" t="s">
        <v>33</v>
      </c>
      <c r="H428" s="2" t="n">
        <v>5</v>
      </c>
      <c r="I428" s="2" t="str">
        <f aca="false">IF(C428="","Open","Resolved")</f>
        <v>Resolved</v>
      </c>
      <c r="J428" s="2" t="str">
        <f aca="false">TEXT(B428,"yyyy-mm")</f>
        <v>2026-03</v>
      </c>
      <c r="K428" s="8" t="n">
        <f aca="false">IF(C428="","",ROUND((C428-B428)*24,2))</f>
        <v>7.35</v>
      </c>
      <c r="L428" s="2" t="n">
        <f aca="false">INDEX('SLA Policy'!$B$2:$B$5,MATCH(E428,'SLA Policy'!$A$2:$A$5,0))</f>
        <v>8</v>
      </c>
      <c r="M428" s="2" t="str">
        <f aca="false">IF(K428="","Open",IF(K428&lt;=L428,"Yes","No"))</f>
        <v>Yes</v>
      </c>
    </row>
    <row r="429" customFormat="false" ht="15" hidden="false" customHeight="false" outlineLevel="0" collapsed="false">
      <c r="A429" s="2" t="s">
        <v>463</v>
      </c>
      <c r="B429" s="7" t="n">
        <v>46087.7027777778</v>
      </c>
      <c r="C429" s="7" t="n">
        <v>46089.2847222222</v>
      </c>
      <c r="D429" s="2" t="s">
        <v>31</v>
      </c>
      <c r="E429" s="2" t="s">
        <v>32</v>
      </c>
      <c r="F429" s="2" t="s">
        <v>28</v>
      </c>
      <c r="G429" s="2" t="s">
        <v>33</v>
      </c>
      <c r="H429" s="2" t="n">
        <v>3</v>
      </c>
      <c r="I429" s="2" t="str">
        <f aca="false">IF(C429="","Open","Resolved")</f>
        <v>Resolved</v>
      </c>
      <c r="J429" s="2" t="str">
        <f aca="false">TEXT(B429,"yyyy-mm")</f>
        <v>2026-03</v>
      </c>
      <c r="K429" s="8" t="n">
        <f aca="false">IF(C429="","",ROUND((C429-B429)*24,2))</f>
        <v>37.97</v>
      </c>
      <c r="L429" s="2" t="n">
        <f aca="false">INDEX('SLA Policy'!$B$2:$B$5,MATCH(E429,'SLA Policy'!$A$2:$A$5,0))</f>
        <v>72</v>
      </c>
      <c r="M429" s="2" t="str">
        <f aca="false">IF(K429="","Open",IF(K429&lt;=L429,"Yes","No"))</f>
        <v>Yes</v>
      </c>
    </row>
    <row r="430" customFormat="false" ht="15" hidden="false" customHeight="false" outlineLevel="0" collapsed="false">
      <c r="A430" s="2" t="s">
        <v>464</v>
      </c>
      <c r="B430" s="7" t="n">
        <v>46089.6354166667</v>
      </c>
      <c r="C430" s="7" t="n">
        <v>46090.8520833333</v>
      </c>
      <c r="D430" s="2" t="s">
        <v>31</v>
      </c>
      <c r="E430" s="2" t="s">
        <v>35</v>
      </c>
      <c r="F430" s="2" t="s">
        <v>38</v>
      </c>
      <c r="G430" s="2" t="s">
        <v>33</v>
      </c>
      <c r="H430" s="2" t="n">
        <v>5</v>
      </c>
      <c r="I430" s="2" t="str">
        <f aca="false">IF(C430="","Open","Resolved")</f>
        <v>Resolved</v>
      </c>
      <c r="J430" s="2" t="str">
        <f aca="false">TEXT(B430,"yyyy-mm")</f>
        <v>2026-03</v>
      </c>
      <c r="K430" s="8" t="n">
        <f aca="false">IF(C430="","",ROUND((C430-B430)*24,2))</f>
        <v>29.2</v>
      </c>
      <c r="L430" s="2" t="n">
        <f aca="false">INDEX('SLA Policy'!$B$2:$B$5,MATCH(E430,'SLA Policy'!$A$2:$A$5,0))</f>
        <v>24</v>
      </c>
      <c r="M430" s="2" t="str">
        <f aca="false">IF(K430="","Open",IF(K430&lt;=L430,"Yes","No"))</f>
        <v>No</v>
      </c>
    </row>
    <row r="431" customFormat="false" ht="15" hidden="false" customHeight="false" outlineLevel="0" collapsed="false">
      <c r="A431" s="2" t="s">
        <v>465</v>
      </c>
      <c r="B431" s="7" t="n">
        <v>46089.6756944444</v>
      </c>
      <c r="C431" s="7" t="n">
        <v>46090.3284722222</v>
      </c>
      <c r="D431" s="2" t="s">
        <v>31</v>
      </c>
      <c r="E431" s="2" t="s">
        <v>35</v>
      </c>
      <c r="F431" s="2" t="s">
        <v>28</v>
      </c>
      <c r="G431" s="2" t="s">
        <v>33</v>
      </c>
      <c r="H431" s="2" t="n">
        <v>4</v>
      </c>
      <c r="I431" s="2" t="str">
        <f aca="false">IF(C431="","Open","Resolved")</f>
        <v>Resolved</v>
      </c>
      <c r="J431" s="2" t="str">
        <f aca="false">TEXT(B431,"yyyy-mm")</f>
        <v>2026-03</v>
      </c>
      <c r="K431" s="8" t="n">
        <f aca="false">IF(C431="","",ROUND((C431-B431)*24,2))</f>
        <v>15.67</v>
      </c>
      <c r="L431" s="2" t="n">
        <f aca="false">INDEX('SLA Policy'!$B$2:$B$5,MATCH(E431,'SLA Policy'!$A$2:$A$5,0))</f>
        <v>24</v>
      </c>
      <c r="M431" s="2" t="str">
        <f aca="false">IF(K431="","Open",IF(K431&lt;=L431,"Yes","No"))</f>
        <v>Yes</v>
      </c>
    </row>
    <row r="432" customFormat="false" ht="15" hidden="false" customHeight="false" outlineLevel="0" collapsed="false">
      <c r="A432" s="2" t="s">
        <v>466</v>
      </c>
      <c r="B432" s="7" t="n">
        <v>46090.3798611111</v>
      </c>
      <c r="C432" s="7" t="n">
        <v>46091.7236111111</v>
      </c>
      <c r="D432" s="2" t="s">
        <v>27</v>
      </c>
      <c r="E432" s="2" t="s">
        <v>32</v>
      </c>
      <c r="F432" s="2" t="s">
        <v>28</v>
      </c>
      <c r="G432" s="2" t="s">
        <v>29</v>
      </c>
      <c r="H432" s="2" t="n">
        <v>3</v>
      </c>
      <c r="I432" s="2" t="str">
        <f aca="false">IF(C432="","Open","Resolved")</f>
        <v>Resolved</v>
      </c>
      <c r="J432" s="2" t="str">
        <f aca="false">TEXT(B432,"yyyy-mm")</f>
        <v>2026-03</v>
      </c>
      <c r="K432" s="8" t="n">
        <f aca="false">IF(C432="","",ROUND((C432-B432)*24,2))</f>
        <v>32.25</v>
      </c>
      <c r="L432" s="2" t="n">
        <f aca="false">INDEX('SLA Policy'!$B$2:$B$5,MATCH(E432,'SLA Policy'!$A$2:$A$5,0))</f>
        <v>72</v>
      </c>
      <c r="M432" s="2" t="str">
        <f aca="false">IF(K432="","Open",IF(K432&lt;=L432,"Yes","No"))</f>
        <v>Yes</v>
      </c>
    </row>
    <row r="433" customFormat="false" ht="15" hidden="false" customHeight="false" outlineLevel="0" collapsed="false">
      <c r="A433" s="2" t="s">
        <v>467</v>
      </c>
      <c r="B433" s="7" t="n">
        <v>46090.6791666667</v>
      </c>
      <c r="C433" s="7" t="n">
        <v>46090.8270833333</v>
      </c>
      <c r="D433" s="2" t="s">
        <v>31</v>
      </c>
      <c r="E433" s="2" t="s">
        <v>23</v>
      </c>
      <c r="F433" s="2" t="s">
        <v>27</v>
      </c>
      <c r="G433" s="2" t="s">
        <v>33</v>
      </c>
      <c r="H433" s="2" t="n">
        <v>4</v>
      </c>
      <c r="I433" s="2" t="str">
        <f aca="false">IF(C433="","Open","Resolved")</f>
        <v>Resolved</v>
      </c>
      <c r="J433" s="2" t="str">
        <f aca="false">TEXT(B433,"yyyy-mm")</f>
        <v>2026-03</v>
      </c>
      <c r="K433" s="8" t="n">
        <f aca="false">IF(C433="","",ROUND((C433-B433)*24,2))</f>
        <v>3.55</v>
      </c>
      <c r="L433" s="2" t="n">
        <f aca="false">INDEX('SLA Policy'!$B$2:$B$5,MATCH(E433,'SLA Policy'!$A$2:$A$5,0))</f>
        <v>8</v>
      </c>
      <c r="M433" s="2" t="str">
        <f aca="false">IF(K433="","Open",IF(K433&lt;=L433,"Yes","No"))</f>
        <v>Yes</v>
      </c>
    </row>
    <row r="434" customFormat="false" ht="15" hidden="false" customHeight="false" outlineLevel="0" collapsed="false">
      <c r="A434" s="2" t="s">
        <v>468</v>
      </c>
      <c r="B434" s="7" t="n">
        <v>46090.6993055556</v>
      </c>
      <c r="C434" s="7" t="n">
        <v>46092.5034722222</v>
      </c>
      <c r="D434" s="2" t="s">
        <v>48</v>
      </c>
      <c r="E434" s="2" t="s">
        <v>35</v>
      </c>
      <c r="F434" s="2" t="s">
        <v>38</v>
      </c>
      <c r="G434" s="2" t="s">
        <v>25</v>
      </c>
      <c r="H434" s="2" t="n">
        <v>3</v>
      </c>
      <c r="I434" s="2" t="str">
        <f aca="false">IF(C434="","Open","Resolved")</f>
        <v>Resolved</v>
      </c>
      <c r="J434" s="2" t="str">
        <f aca="false">TEXT(B434,"yyyy-mm")</f>
        <v>2026-03</v>
      </c>
      <c r="K434" s="8" t="n">
        <f aca="false">IF(C434="","",ROUND((C434-B434)*24,2))</f>
        <v>43.3</v>
      </c>
      <c r="L434" s="2" t="n">
        <f aca="false">INDEX('SLA Policy'!$B$2:$B$5,MATCH(E434,'SLA Policy'!$A$2:$A$5,0))</f>
        <v>24</v>
      </c>
      <c r="M434" s="2" t="str">
        <f aca="false">IF(K434="","Open",IF(K434&lt;=L434,"Yes","No"))</f>
        <v>No</v>
      </c>
    </row>
    <row r="435" customFormat="false" ht="15" hidden="false" customHeight="false" outlineLevel="0" collapsed="false">
      <c r="A435" s="2" t="s">
        <v>469</v>
      </c>
      <c r="B435" s="7" t="n">
        <v>46090.7798611111</v>
      </c>
      <c r="C435" s="7" t="n">
        <v>46093.8409722222</v>
      </c>
      <c r="D435" s="2" t="s">
        <v>22</v>
      </c>
      <c r="E435" s="2" t="s">
        <v>32</v>
      </c>
      <c r="F435" s="2" t="s">
        <v>38</v>
      </c>
      <c r="G435" s="2" t="s">
        <v>25</v>
      </c>
      <c r="H435" s="2" t="n">
        <v>4</v>
      </c>
      <c r="I435" s="2" t="str">
        <f aca="false">IF(C435="","Open","Resolved")</f>
        <v>Resolved</v>
      </c>
      <c r="J435" s="2" t="str">
        <f aca="false">TEXT(B435,"yyyy-mm")</f>
        <v>2026-03</v>
      </c>
      <c r="K435" s="8" t="n">
        <f aca="false">IF(C435="","",ROUND((C435-B435)*24,2))</f>
        <v>73.47</v>
      </c>
      <c r="L435" s="2" t="n">
        <f aca="false">INDEX('SLA Policy'!$B$2:$B$5,MATCH(E435,'SLA Policy'!$A$2:$A$5,0))</f>
        <v>72</v>
      </c>
      <c r="M435" s="2" t="str">
        <f aca="false">IF(K435="","Open",IF(K435&lt;=L435,"Yes","No"))</f>
        <v>No</v>
      </c>
    </row>
    <row r="436" customFormat="false" ht="15" hidden="false" customHeight="false" outlineLevel="0" collapsed="false">
      <c r="A436" s="2" t="s">
        <v>470</v>
      </c>
      <c r="B436" s="7" t="n">
        <v>46091.34375</v>
      </c>
      <c r="C436" s="7" t="n">
        <v>46091.7916666667</v>
      </c>
      <c r="D436" s="2" t="s">
        <v>31</v>
      </c>
      <c r="E436" s="2" t="s">
        <v>35</v>
      </c>
      <c r="F436" s="2" t="s">
        <v>24</v>
      </c>
      <c r="G436" s="2" t="s">
        <v>33</v>
      </c>
      <c r="H436" s="2" t="n">
        <v>5</v>
      </c>
      <c r="I436" s="2" t="str">
        <f aca="false">IF(C436="","Open","Resolved")</f>
        <v>Resolved</v>
      </c>
      <c r="J436" s="2" t="str">
        <f aca="false">TEXT(B436,"yyyy-mm")</f>
        <v>2026-03</v>
      </c>
      <c r="K436" s="8" t="n">
        <f aca="false">IF(C436="","",ROUND((C436-B436)*24,2))</f>
        <v>10.75</v>
      </c>
      <c r="L436" s="2" t="n">
        <f aca="false">INDEX('SLA Policy'!$B$2:$B$5,MATCH(E436,'SLA Policy'!$A$2:$A$5,0))</f>
        <v>24</v>
      </c>
      <c r="M436" s="2" t="str">
        <f aca="false">IF(K436="","Open",IF(K436&lt;=L436,"Yes","No"))</f>
        <v>Yes</v>
      </c>
    </row>
    <row r="437" customFormat="false" ht="15" hidden="false" customHeight="false" outlineLevel="0" collapsed="false">
      <c r="A437" s="2" t="s">
        <v>471</v>
      </c>
      <c r="B437" s="7" t="n">
        <v>46091.3958333333</v>
      </c>
      <c r="C437" s="7" t="n">
        <v>46091.8819444445</v>
      </c>
      <c r="D437" s="2" t="s">
        <v>31</v>
      </c>
      <c r="E437" s="2" t="s">
        <v>23</v>
      </c>
      <c r="F437" s="2" t="s">
        <v>28</v>
      </c>
      <c r="G437" s="2" t="s">
        <v>33</v>
      </c>
      <c r="H437" s="2" t="n">
        <v>5</v>
      </c>
      <c r="I437" s="2" t="str">
        <f aca="false">IF(C437="","Open","Resolved")</f>
        <v>Resolved</v>
      </c>
      <c r="J437" s="2" t="str">
        <f aca="false">TEXT(B437,"yyyy-mm")</f>
        <v>2026-03</v>
      </c>
      <c r="K437" s="8" t="n">
        <f aca="false">IF(C437="","",ROUND((C437-B437)*24,2))</f>
        <v>11.67</v>
      </c>
      <c r="L437" s="2" t="n">
        <f aca="false">INDEX('SLA Policy'!$B$2:$B$5,MATCH(E437,'SLA Policy'!$A$2:$A$5,0))</f>
        <v>8</v>
      </c>
      <c r="M437" s="2" t="str">
        <f aca="false">IF(K437="","Open",IF(K437&lt;=L437,"Yes","No"))</f>
        <v>No</v>
      </c>
    </row>
    <row r="438" customFormat="false" ht="15" hidden="false" customHeight="false" outlineLevel="0" collapsed="false">
      <c r="A438" s="2" t="s">
        <v>472</v>
      </c>
      <c r="B438" s="7" t="n">
        <v>46091.4479166667</v>
      </c>
      <c r="C438" s="7" t="n">
        <v>46099.1555555556</v>
      </c>
      <c r="D438" s="2" t="s">
        <v>31</v>
      </c>
      <c r="E438" s="2" t="s">
        <v>32</v>
      </c>
      <c r="F438" s="2" t="s">
        <v>27</v>
      </c>
      <c r="G438" s="2" t="s">
        <v>33</v>
      </c>
      <c r="H438" s="2" t="n">
        <v>1</v>
      </c>
      <c r="I438" s="2" t="str">
        <f aca="false">IF(C438="","Open","Resolved")</f>
        <v>Resolved</v>
      </c>
      <c r="J438" s="2" t="str">
        <f aca="false">TEXT(B438,"yyyy-mm")</f>
        <v>2026-03</v>
      </c>
      <c r="K438" s="8" t="n">
        <f aca="false">IF(C438="","",ROUND((C438-B438)*24,2))</f>
        <v>184.98</v>
      </c>
      <c r="L438" s="2" t="n">
        <f aca="false">INDEX('SLA Policy'!$B$2:$B$5,MATCH(E438,'SLA Policy'!$A$2:$A$5,0))</f>
        <v>72</v>
      </c>
      <c r="M438" s="2" t="str">
        <f aca="false">IF(K438="","Open",IF(K438&lt;=L438,"Yes","No"))</f>
        <v>No</v>
      </c>
    </row>
    <row r="439" customFormat="false" ht="15" hidden="false" customHeight="false" outlineLevel="0" collapsed="false">
      <c r="A439" s="2" t="s">
        <v>473</v>
      </c>
      <c r="B439" s="7" t="n">
        <v>46091.4652777778</v>
      </c>
      <c r="C439" s="7" t="n">
        <v>46092.3083333333</v>
      </c>
      <c r="D439" s="2" t="s">
        <v>31</v>
      </c>
      <c r="E439" s="2" t="s">
        <v>35</v>
      </c>
      <c r="F439" s="2" t="s">
        <v>24</v>
      </c>
      <c r="G439" s="2" t="s">
        <v>33</v>
      </c>
      <c r="H439" s="2" t="n">
        <v>5</v>
      </c>
      <c r="I439" s="2" t="str">
        <f aca="false">IF(C439="","Open","Resolved")</f>
        <v>Resolved</v>
      </c>
      <c r="J439" s="2" t="str">
        <f aca="false">TEXT(B439,"yyyy-mm")</f>
        <v>2026-03</v>
      </c>
      <c r="K439" s="8" t="n">
        <f aca="false">IF(C439="","",ROUND((C439-B439)*24,2))</f>
        <v>20.23</v>
      </c>
      <c r="L439" s="2" t="n">
        <f aca="false">INDEX('SLA Policy'!$B$2:$B$5,MATCH(E439,'SLA Policy'!$A$2:$A$5,0))</f>
        <v>24</v>
      </c>
      <c r="M439" s="2" t="str">
        <f aca="false">IF(K439="","Open",IF(K439&lt;=L439,"Yes","No"))</f>
        <v>Yes</v>
      </c>
    </row>
    <row r="440" customFormat="false" ht="15" hidden="false" customHeight="false" outlineLevel="0" collapsed="false">
      <c r="A440" s="2" t="s">
        <v>474</v>
      </c>
      <c r="B440" s="7" t="n">
        <v>46091.5166666667</v>
      </c>
      <c r="C440" s="7" t="n">
        <v>46091.6</v>
      </c>
      <c r="D440" s="2" t="s">
        <v>31</v>
      </c>
      <c r="E440" s="2" t="s">
        <v>40</v>
      </c>
      <c r="F440" s="2" t="s">
        <v>24</v>
      </c>
      <c r="G440" s="2" t="s">
        <v>33</v>
      </c>
      <c r="H440" s="2" t="n">
        <v>4</v>
      </c>
      <c r="I440" s="2" t="str">
        <f aca="false">IF(C440="","Open","Resolved")</f>
        <v>Resolved</v>
      </c>
      <c r="J440" s="2" t="str">
        <f aca="false">TEXT(B440,"yyyy-mm")</f>
        <v>2026-03</v>
      </c>
      <c r="K440" s="8" t="n">
        <f aca="false">IF(C440="","",ROUND((C440-B440)*24,2))</f>
        <v>2</v>
      </c>
      <c r="L440" s="2" t="n">
        <f aca="false">INDEX('SLA Policy'!$B$2:$B$5,MATCH(E440,'SLA Policy'!$A$2:$A$5,0))</f>
        <v>4</v>
      </c>
      <c r="M440" s="2" t="str">
        <f aca="false">IF(K440="","Open",IF(K440&lt;=L440,"Yes","No"))</f>
        <v>Yes</v>
      </c>
    </row>
    <row r="441" customFormat="false" ht="15" hidden="false" customHeight="false" outlineLevel="0" collapsed="false">
      <c r="A441" s="2" t="s">
        <v>475</v>
      </c>
      <c r="B441" s="7" t="n">
        <v>46091.5347222222</v>
      </c>
      <c r="C441" s="7" t="n">
        <v>46092.01875</v>
      </c>
      <c r="D441" s="2" t="s">
        <v>31</v>
      </c>
      <c r="E441" s="2" t="s">
        <v>32</v>
      </c>
      <c r="F441" s="2" t="s">
        <v>38</v>
      </c>
      <c r="G441" s="2" t="s">
        <v>33</v>
      </c>
      <c r="H441" s="2" t="n">
        <v>3</v>
      </c>
      <c r="I441" s="2" t="str">
        <f aca="false">IF(C441="","Open","Resolved")</f>
        <v>Resolved</v>
      </c>
      <c r="J441" s="2" t="str">
        <f aca="false">TEXT(B441,"yyyy-mm")</f>
        <v>2026-03</v>
      </c>
      <c r="K441" s="8" t="n">
        <f aca="false">IF(C441="","",ROUND((C441-B441)*24,2))</f>
        <v>11.62</v>
      </c>
      <c r="L441" s="2" t="n">
        <f aca="false">INDEX('SLA Policy'!$B$2:$B$5,MATCH(E441,'SLA Policy'!$A$2:$A$5,0))</f>
        <v>72</v>
      </c>
      <c r="M441" s="2" t="str">
        <f aca="false">IF(K441="","Open",IF(K441&lt;=L441,"Yes","No"))</f>
        <v>Yes</v>
      </c>
    </row>
    <row r="442" customFormat="false" ht="15" hidden="false" customHeight="false" outlineLevel="0" collapsed="false">
      <c r="A442" s="2" t="s">
        <v>476</v>
      </c>
      <c r="B442" s="7" t="n">
        <v>46091.5486111111</v>
      </c>
      <c r="C442" s="7" t="n">
        <v>46091.8055555556</v>
      </c>
      <c r="D442" s="2" t="s">
        <v>42</v>
      </c>
      <c r="E442" s="2" t="s">
        <v>35</v>
      </c>
      <c r="F442" s="2" t="s">
        <v>28</v>
      </c>
      <c r="G442" s="2" t="s">
        <v>29</v>
      </c>
      <c r="H442" s="2" t="n">
        <v>5</v>
      </c>
      <c r="I442" s="2" t="str">
        <f aca="false">IF(C442="","Open","Resolved")</f>
        <v>Resolved</v>
      </c>
      <c r="J442" s="2" t="str">
        <f aca="false">TEXT(B442,"yyyy-mm")</f>
        <v>2026-03</v>
      </c>
      <c r="K442" s="8" t="n">
        <f aca="false">IF(C442="","",ROUND((C442-B442)*24,2))</f>
        <v>6.17</v>
      </c>
      <c r="L442" s="2" t="n">
        <f aca="false">INDEX('SLA Policy'!$B$2:$B$5,MATCH(E442,'SLA Policy'!$A$2:$A$5,0))</f>
        <v>24</v>
      </c>
      <c r="M442" s="2" t="str">
        <f aca="false">IF(K442="","Open",IF(K442&lt;=L442,"Yes","No"))</f>
        <v>Yes</v>
      </c>
    </row>
    <row r="443" customFormat="false" ht="15" hidden="false" customHeight="false" outlineLevel="0" collapsed="false">
      <c r="A443" s="2" t="s">
        <v>477</v>
      </c>
      <c r="B443" s="7" t="n">
        <v>46091.5645833333</v>
      </c>
      <c r="C443" s="7" t="n">
        <v>46098.8743055556</v>
      </c>
      <c r="D443" s="2" t="s">
        <v>22</v>
      </c>
      <c r="E443" s="2" t="s">
        <v>32</v>
      </c>
      <c r="F443" s="2" t="s">
        <v>27</v>
      </c>
      <c r="G443" s="2" t="s">
        <v>25</v>
      </c>
      <c r="H443" s="2" t="n">
        <v>1</v>
      </c>
      <c r="I443" s="2" t="str">
        <f aca="false">IF(C443="","Open","Resolved")</f>
        <v>Resolved</v>
      </c>
      <c r="J443" s="2" t="str">
        <f aca="false">TEXT(B443,"yyyy-mm")</f>
        <v>2026-03</v>
      </c>
      <c r="K443" s="8" t="n">
        <f aca="false">IF(C443="","",ROUND((C443-B443)*24,2))</f>
        <v>175.43</v>
      </c>
      <c r="L443" s="2" t="n">
        <f aca="false">INDEX('SLA Policy'!$B$2:$B$5,MATCH(E443,'SLA Policy'!$A$2:$A$5,0))</f>
        <v>72</v>
      </c>
      <c r="M443" s="2" t="str">
        <f aca="false">IF(K443="","Open",IF(K443&lt;=L443,"Yes","No"))</f>
        <v>No</v>
      </c>
    </row>
    <row r="444" customFormat="false" ht="15" hidden="false" customHeight="false" outlineLevel="0" collapsed="false">
      <c r="A444" s="2" t="s">
        <v>478</v>
      </c>
      <c r="B444" s="7" t="n">
        <v>46091.5645833333</v>
      </c>
      <c r="C444" s="7" t="n">
        <v>46091.8944444444</v>
      </c>
      <c r="D444" s="2" t="s">
        <v>42</v>
      </c>
      <c r="E444" s="2" t="s">
        <v>35</v>
      </c>
      <c r="F444" s="2" t="s">
        <v>24</v>
      </c>
      <c r="G444" s="2" t="s">
        <v>29</v>
      </c>
      <c r="H444" s="2" t="n">
        <v>5</v>
      </c>
      <c r="I444" s="2" t="str">
        <f aca="false">IF(C444="","Open","Resolved")</f>
        <v>Resolved</v>
      </c>
      <c r="J444" s="2" t="str">
        <f aca="false">TEXT(B444,"yyyy-mm")</f>
        <v>2026-03</v>
      </c>
      <c r="K444" s="8" t="n">
        <f aca="false">IF(C444="","",ROUND((C444-B444)*24,2))</f>
        <v>7.92</v>
      </c>
      <c r="L444" s="2" t="n">
        <f aca="false">INDEX('SLA Policy'!$B$2:$B$5,MATCH(E444,'SLA Policy'!$A$2:$A$5,0))</f>
        <v>24</v>
      </c>
      <c r="M444" s="2" t="str">
        <f aca="false">IF(K444="","Open",IF(K444&lt;=L444,"Yes","No"))</f>
        <v>Yes</v>
      </c>
    </row>
    <row r="445" customFormat="false" ht="15" hidden="false" customHeight="false" outlineLevel="0" collapsed="false">
      <c r="A445" s="2" t="s">
        <v>479</v>
      </c>
      <c r="B445" s="7" t="n">
        <v>46091.5743055556</v>
      </c>
      <c r="C445" s="7" t="n">
        <v>46091.6652777778</v>
      </c>
      <c r="D445" s="2" t="s">
        <v>42</v>
      </c>
      <c r="E445" s="2" t="s">
        <v>23</v>
      </c>
      <c r="F445" s="2" t="s">
        <v>24</v>
      </c>
      <c r="G445" s="2" t="s">
        <v>29</v>
      </c>
      <c r="H445" s="2" t="n">
        <v>5</v>
      </c>
      <c r="I445" s="2" t="str">
        <f aca="false">IF(C445="","Open","Resolved")</f>
        <v>Resolved</v>
      </c>
      <c r="J445" s="2" t="str">
        <f aca="false">TEXT(B445,"yyyy-mm")</f>
        <v>2026-03</v>
      </c>
      <c r="K445" s="8" t="n">
        <f aca="false">IF(C445="","",ROUND((C445-B445)*24,2))</f>
        <v>2.18</v>
      </c>
      <c r="L445" s="2" t="n">
        <f aca="false">INDEX('SLA Policy'!$B$2:$B$5,MATCH(E445,'SLA Policy'!$A$2:$A$5,0))</f>
        <v>8</v>
      </c>
      <c r="M445" s="2" t="str">
        <f aca="false">IF(K445="","Open",IF(K445&lt;=L445,"Yes","No"))</f>
        <v>Yes</v>
      </c>
    </row>
    <row r="446" customFormat="false" ht="15" hidden="false" customHeight="false" outlineLevel="0" collapsed="false">
      <c r="A446" s="2" t="s">
        <v>480</v>
      </c>
      <c r="B446" s="7" t="n">
        <v>46091.6458333333</v>
      </c>
      <c r="C446" s="7" t="n">
        <v>46097.7652777778</v>
      </c>
      <c r="D446" s="2" t="s">
        <v>48</v>
      </c>
      <c r="E446" s="2" t="s">
        <v>32</v>
      </c>
      <c r="F446" s="2" t="s">
        <v>24</v>
      </c>
      <c r="G446" s="2" t="s">
        <v>25</v>
      </c>
      <c r="H446" s="2" t="n">
        <v>1</v>
      </c>
      <c r="I446" s="2" t="str">
        <f aca="false">IF(C446="","Open","Resolved")</f>
        <v>Resolved</v>
      </c>
      <c r="J446" s="2" t="str">
        <f aca="false">TEXT(B446,"yyyy-mm")</f>
        <v>2026-03</v>
      </c>
      <c r="K446" s="8" t="n">
        <f aca="false">IF(C446="","",ROUND((C446-B446)*24,2))</f>
        <v>146.87</v>
      </c>
      <c r="L446" s="2" t="n">
        <f aca="false">INDEX('SLA Policy'!$B$2:$B$5,MATCH(E446,'SLA Policy'!$A$2:$A$5,0))</f>
        <v>72</v>
      </c>
      <c r="M446" s="2" t="str">
        <f aca="false">IF(K446="","Open",IF(K446&lt;=L446,"Yes","No"))</f>
        <v>No</v>
      </c>
    </row>
    <row r="447" customFormat="false" ht="15" hidden="false" customHeight="false" outlineLevel="0" collapsed="false">
      <c r="A447" s="2" t="s">
        <v>481</v>
      </c>
      <c r="B447" s="7" t="n">
        <v>46091.7055555556</v>
      </c>
      <c r="C447" s="7" t="n">
        <v>46092.30625</v>
      </c>
      <c r="D447" s="2" t="s">
        <v>22</v>
      </c>
      <c r="E447" s="2" t="s">
        <v>35</v>
      </c>
      <c r="F447" s="2" t="s">
        <v>38</v>
      </c>
      <c r="G447" s="2" t="s">
        <v>25</v>
      </c>
      <c r="H447" s="2" t="n">
        <v>5</v>
      </c>
      <c r="I447" s="2" t="str">
        <f aca="false">IF(C447="","Open","Resolved")</f>
        <v>Resolved</v>
      </c>
      <c r="J447" s="2" t="str">
        <f aca="false">TEXT(B447,"yyyy-mm")</f>
        <v>2026-03</v>
      </c>
      <c r="K447" s="8" t="n">
        <f aca="false">IF(C447="","",ROUND((C447-B447)*24,2))</f>
        <v>14.42</v>
      </c>
      <c r="L447" s="2" t="n">
        <f aca="false">INDEX('SLA Policy'!$B$2:$B$5,MATCH(E447,'SLA Policy'!$A$2:$A$5,0))</f>
        <v>24</v>
      </c>
      <c r="M447" s="2" t="str">
        <f aca="false">IF(K447="","Open",IF(K447&lt;=L447,"Yes","No"))</f>
        <v>Yes</v>
      </c>
    </row>
    <row r="448" customFormat="false" ht="15" hidden="false" customHeight="false" outlineLevel="0" collapsed="false">
      <c r="A448" s="2" t="s">
        <v>482</v>
      </c>
      <c r="B448" s="7" t="n">
        <v>46091.7131944444</v>
      </c>
      <c r="C448" s="7" t="n">
        <v>46093.1881944445</v>
      </c>
      <c r="D448" s="2" t="s">
        <v>31</v>
      </c>
      <c r="E448" s="2" t="s">
        <v>32</v>
      </c>
      <c r="F448" s="2" t="s">
        <v>24</v>
      </c>
      <c r="G448" s="2" t="s">
        <v>33</v>
      </c>
      <c r="H448" s="2" t="n">
        <v>4</v>
      </c>
      <c r="I448" s="2" t="str">
        <f aca="false">IF(C448="","Open","Resolved")</f>
        <v>Resolved</v>
      </c>
      <c r="J448" s="2" t="str">
        <f aca="false">TEXT(B448,"yyyy-mm")</f>
        <v>2026-03</v>
      </c>
      <c r="K448" s="8" t="n">
        <f aca="false">IF(C448="","",ROUND((C448-B448)*24,2))</f>
        <v>35.4</v>
      </c>
      <c r="L448" s="2" t="n">
        <f aca="false">INDEX('SLA Policy'!$B$2:$B$5,MATCH(E448,'SLA Policy'!$A$2:$A$5,0))</f>
        <v>72</v>
      </c>
      <c r="M448" s="2" t="str">
        <f aca="false">IF(K448="","Open",IF(K448&lt;=L448,"Yes","No"))</f>
        <v>Yes</v>
      </c>
    </row>
    <row r="449" customFormat="false" ht="15" hidden="false" customHeight="false" outlineLevel="0" collapsed="false">
      <c r="A449" s="2" t="s">
        <v>483</v>
      </c>
      <c r="B449" s="7" t="n">
        <v>46091.7152777778</v>
      </c>
      <c r="C449" s="7" t="n">
        <v>46092.1090277778</v>
      </c>
      <c r="D449" s="2" t="s">
        <v>31</v>
      </c>
      <c r="E449" s="2" t="s">
        <v>23</v>
      </c>
      <c r="F449" s="2" t="s">
        <v>27</v>
      </c>
      <c r="G449" s="2" t="s">
        <v>33</v>
      </c>
      <c r="H449" s="2" t="n">
        <v>4</v>
      </c>
      <c r="I449" s="2" t="str">
        <f aca="false">IF(C449="","Open","Resolved")</f>
        <v>Resolved</v>
      </c>
      <c r="J449" s="2" t="str">
        <f aca="false">TEXT(B449,"yyyy-mm")</f>
        <v>2026-03</v>
      </c>
      <c r="K449" s="8" t="n">
        <f aca="false">IF(C449="","",ROUND((C449-B449)*24,2))</f>
        <v>9.45</v>
      </c>
      <c r="L449" s="2" t="n">
        <f aca="false">INDEX('SLA Policy'!$B$2:$B$5,MATCH(E449,'SLA Policy'!$A$2:$A$5,0))</f>
        <v>8</v>
      </c>
      <c r="M449" s="2" t="str">
        <f aca="false">IF(K449="","Open",IF(K449&lt;=L449,"Yes","No"))</f>
        <v>No</v>
      </c>
    </row>
    <row r="450" customFormat="false" ht="15" hidden="false" customHeight="false" outlineLevel="0" collapsed="false">
      <c r="A450" s="2" t="s">
        <v>484</v>
      </c>
      <c r="B450" s="7" t="n">
        <v>46091.7388888889</v>
      </c>
      <c r="C450" s="7" t="n">
        <v>46092.7486111111</v>
      </c>
      <c r="D450" s="2" t="s">
        <v>31</v>
      </c>
      <c r="E450" s="2" t="s">
        <v>35</v>
      </c>
      <c r="F450" s="2" t="s">
        <v>28</v>
      </c>
      <c r="G450" s="2" t="s">
        <v>33</v>
      </c>
      <c r="H450" s="2" t="n">
        <v>5</v>
      </c>
      <c r="I450" s="2" t="str">
        <f aca="false">IF(C450="","Open","Resolved")</f>
        <v>Resolved</v>
      </c>
      <c r="J450" s="2" t="str">
        <f aca="false">TEXT(B450,"yyyy-mm")</f>
        <v>2026-03</v>
      </c>
      <c r="K450" s="8" t="n">
        <f aca="false">IF(C450="","",ROUND((C450-B450)*24,2))</f>
        <v>24.23</v>
      </c>
      <c r="L450" s="2" t="n">
        <f aca="false">INDEX('SLA Policy'!$B$2:$B$5,MATCH(E450,'SLA Policy'!$A$2:$A$5,0))</f>
        <v>24</v>
      </c>
      <c r="M450" s="2" t="str">
        <f aca="false">IF(K450="","Open",IF(K450&lt;=L450,"Yes","No"))</f>
        <v>No</v>
      </c>
    </row>
    <row r="451" customFormat="false" ht="15" hidden="false" customHeight="false" outlineLevel="0" collapsed="false">
      <c r="A451" s="2" t="s">
        <v>485</v>
      </c>
      <c r="B451" s="7" t="n">
        <v>46091.7805555556</v>
      </c>
      <c r="C451" s="7" t="n">
        <v>46092.2444444444</v>
      </c>
      <c r="D451" s="2" t="s">
        <v>31</v>
      </c>
      <c r="E451" s="2" t="s">
        <v>23</v>
      </c>
      <c r="F451" s="2" t="s">
        <v>24</v>
      </c>
      <c r="G451" s="2" t="s">
        <v>33</v>
      </c>
      <c r="H451" s="2" t="n">
        <v>5</v>
      </c>
      <c r="I451" s="2" t="str">
        <f aca="false">IF(C451="","Open","Resolved")</f>
        <v>Resolved</v>
      </c>
      <c r="J451" s="2" t="str">
        <f aca="false">TEXT(B451,"yyyy-mm")</f>
        <v>2026-03</v>
      </c>
      <c r="K451" s="8" t="n">
        <f aca="false">IF(C451="","",ROUND((C451-B451)*24,2))</f>
        <v>11.13</v>
      </c>
      <c r="L451" s="2" t="n">
        <f aca="false">INDEX('SLA Policy'!$B$2:$B$5,MATCH(E451,'SLA Policy'!$A$2:$A$5,0))</f>
        <v>8</v>
      </c>
      <c r="M451" s="2" t="str">
        <f aca="false">IF(K451="","Open",IF(K451&lt;=L451,"Yes","No"))</f>
        <v>No</v>
      </c>
    </row>
    <row r="452" customFormat="false" ht="15" hidden="false" customHeight="false" outlineLevel="0" collapsed="false">
      <c r="A452" s="2" t="s">
        <v>486</v>
      </c>
      <c r="B452" s="7" t="n">
        <v>46092.3284722222</v>
      </c>
      <c r="C452" s="7" t="n">
        <v>46094.0555555556</v>
      </c>
      <c r="D452" s="2" t="s">
        <v>22</v>
      </c>
      <c r="E452" s="2" t="s">
        <v>35</v>
      </c>
      <c r="F452" s="2" t="s">
        <v>24</v>
      </c>
      <c r="G452" s="2" t="s">
        <v>25</v>
      </c>
      <c r="H452" s="2" t="n">
        <v>4</v>
      </c>
      <c r="I452" s="2" t="str">
        <f aca="false">IF(C452="","Open","Resolved")</f>
        <v>Resolved</v>
      </c>
      <c r="J452" s="2" t="str">
        <f aca="false">TEXT(B452,"yyyy-mm")</f>
        <v>2026-03</v>
      </c>
      <c r="K452" s="8" t="n">
        <f aca="false">IF(C452="","",ROUND((C452-B452)*24,2))</f>
        <v>41.45</v>
      </c>
      <c r="L452" s="2" t="n">
        <f aca="false">INDEX('SLA Policy'!$B$2:$B$5,MATCH(E452,'SLA Policy'!$A$2:$A$5,0))</f>
        <v>24</v>
      </c>
      <c r="M452" s="2" t="str">
        <f aca="false">IF(K452="","Open",IF(K452&lt;=L452,"Yes","No"))</f>
        <v>No</v>
      </c>
    </row>
    <row r="453" customFormat="false" ht="15" hidden="false" customHeight="false" outlineLevel="0" collapsed="false">
      <c r="A453" s="2" t="s">
        <v>487</v>
      </c>
      <c r="B453" s="7" t="n">
        <v>46092.4638888889</v>
      </c>
      <c r="C453" s="7" t="n">
        <v>46092.8625</v>
      </c>
      <c r="D453" s="2" t="s">
        <v>31</v>
      </c>
      <c r="E453" s="2" t="s">
        <v>35</v>
      </c>
      <c r="F453" s="2" t="s">
        <v>38</v>
      </c>
      <c r="G453" s="2" t="s">
        <v>33</v>
      </c>
      <c r="H453" s="2" t="n">
        <v>5</v>
      </c>
      <c r="I453" s="2" t="str">
        <f aca="false">IF(C453="","Open","Resolved")</f>
        <v>Resolved</v>
      </c>
      <c r="J453" s="2" t="str">
        <f aca="false">TEXT(B453,"yyyy-mm")</f>
        <v>2026-03</v>
      </c>
      <c r="K453" s="8" t="n">
        <f aca="false">IF(C453="","",ROUND((C453-B453)*24,2))</f>
        <v>9.57</v>
      </c>
      <c r="L453" s="2" t="n">
        <f aca="false">INDEX('SLA Policy'!$B$2:$B$5,MATCH(E453,'SLA Policy'!$A$2:$A$5,0))</f>
        <v>24</v>
      </c>
      <c r="M453" s="2" t="str">
        <f aca="false">IF(K453="","Open",IF(K453&lt;=L453,"Yes","No"))</f>
        <v>Yes</v>
      </c>
    </row>
    <row r="454" customFormat="false" ht="15" hidden="false" customHeight="false" outlineLevel="0" collapsed="false">
      <c r="A454" s="2" t="s">
        <v>488</v>
      </c>
      <c r="B454" s="7" t="n">
        <v>46092.4805555556</v>
      </c>
      <c r="C454" s="7" t="n">
        <v>46094.4125</v>
      </c>
      <c r="D454" s="2" t="s">
        <v>31</v>
      </c>
      <c r="E454" s="2" t="s">
        <v>35</v>
      </c>
      <c r="F454" s="2" t="s">
        <v>27</v>
      </c>
      <c r="G454" s="2" t="s">
        <v>33</v>
      </c>
      <c r="H454" s="2" t="n">
        <v>4</v>
      </c>
      <c r="I454" s="2" t="str">
        <f aca="false">IF(C454="","Open","Resolved")</f>
        <v>Resolved</v>
      </c>
      <c r="J454" s="2" t="str">
        <f aca="false">TEXT(B454,"yyyy-mm")</f>
        <v>2026-03</v>
      </c>
      <c r="K454" s="8" t="n">
        <f aca="false">IF(C454="","",ROUND((C454-B454)*24,2))</f>
        <v>46.37</v>
      </c>
      <c r="L454" s="2" t="n">
        <f aca="false">INDEX('SLA Policy'!$B$2:$B$5,MATCH(E454,'SLA Policy'!$A$2:$A$5,0))</f>
        <v>24</v>
      </c>
      <c r="M454" s="2" t="str">
        <f aca="false">IF(K454="","Open",IF(K454&lt;=L454,"Yes","No"))</f>
        <v>No</v>
      </c>
    </row>
    <row r="455" customFormat="false" ht="15" hidden="false" customHeight="false" outlineLevel="0" collapsed="false">
      <c r="A455" s="2" t="s">
        <v>489</v>
      </c>
      <c r="B455" s="7" t="n">
        <v>46092.5027777778</v>
      </c>
      <c r="C455" s="7" t="n">
        <v>46093.3333333333</v>
      </c>
      <c r="D455" s="2" t="s">
        <v>48</v>
      </c>
      <c r="E455" s="2" t="s">
        <v>35</v>
      </c>
      <c r="F455" s="2" t="s">
        <v>38</v>
      </c>
      <c r="G455" s="2" t="s">
        <v>25</v>
      </c>
      <c r="H455" s="2" t="n">
        <v>3</v>
      </c>
      <c r="I455" s="2" t="str">
        <f aca="false">IF(C455="","Open","Resolved")</f>
        <v>Resolved</v>
      </c>
      <c r="J455" s="2" t="str">
        <f aca="false">TEXT(B455,"yyyy-mm")</f>
        <v>2026-03</v>
      </c>
      <c r="K455" s="8" t="n">
        <f aca="false">IF(C455="","",ROUND((C455-B455)*24,2))</f>
        <v>19.93</v>
      </c>
      <c r="L455" s="2" t="n">
        <f aca="false">INDEX('SLA Policy'!$B$2:$B$5,MATCH(E455,'SLA Policy'!$A$2:$A$5,0))</f>
        <v>24</v>
      </c>
      <c r="M455" s="2" t="str">
        <f aca="false">IF(K455="","Open",IF(K455&lt;=L455,"Yes","No"))</f>
        <v>Yes</v>
      </c>
    </row>
    <row r="456" customFormat="false" ht="15" hidden="false" customHeight="false" outlineLevel="0" collapsed="false">
      <c r="A456" s="2" t="s">
        <v>490</v>
      </c>
      <c r="B456" s="7" t="n">
        <v>46092.5152777778</v>
      </c>
      <c r="C456" s="7" t="n">
        <v>46092.5888888889</v>
      </c>
      <c r="D456" s="2" t="s">
        <v>31</v>
      </c>
      <c r="E456" s="2" t="s">
        <v>40</v>
      </c>
      <c r="F456" s="2" t="s">
        <v>28</v>
      </c>
      <c r="G456" s="2" t="s">
        <v>33</v>
      </c>
      <c r="H456" s="2" t="n">
        <v>5</v>
      </c>
      <c r="I456" s="2" t="str">
        <f aca="false">IF(C456="","Open","Resolved")</f>
        <v>Resolved</v>
      </c>
      <c r="J456" s="2" t="str">
        <f aca="false">TEXT(B456,"yyyy-mm")</f>
        <v>2026-03</v>
      </c>
      <c r="K456" s="8" t="n">
        <f aca="false">IF(C456="","",ROUND((C456-B456)*24,2))</f>
        <v>1.77</v>
      </c>
      <c r="L456" s="2" t="n">
        <f aca="false">INDEX('SLA Policy'!$B$2:$B$5,MATCH(E456,'SLA Policy'!$A$2:$A$5,0))</f>
        <v>4</v>
      </c>
      <c r="M456" s="2" t="str">
        <f aca="false">IF(K456="","Open",IF(K456&lt;=L456,"Yes","No"))</f>
        <v>Yes</v>
      </c>
    </row>
    <row r="457" customFormat="false" ht="15" hidden="false" customHeight="false" outlineLevel="0" collapsed="false">
      <c r="A457" s="2" t="s">
        <v>491</v>
      </c>
      <c r="B457" s="7" t="n">
        <v>46092.5458333333</v>
      </c>
      <c r="C457" s="7" t="n">
        <v>46093.0583333333</v>
      </c>
      <c r="D457" s="2" t="s">
        <v>31</v>
      </c>
      <c r="E457" s="2" t="s">
        <v>23</v>
      </c>
      <c r="F457" s="2" t="s">
        <v>27</v>
      </c>
      <c r="G457" s="2" t="s">
        <v>33</v>
      </c>
      <c r="H457" s="2" t="n">
        <v>5</v>
      </c>
      <c r="I457" s="2" t="str">
        <f aca="false">IF(C457="","Open","Resolved")</f>
        <v>Resolved</v>
      </c>
      <c r="J457" s="2" t="str">
        <f aca="false">TEXT(B457,"yyyy-mm")</f>
        <v>2026-03</v>
      </c>
      <c r="K457" s="8" t="n">
        <f aca="false">IF(C457="","",ROUND((C457-B457)*24,2))</f>
        <v>12.3</v>
      </c>
      <c r="L457" s="2" t="n">
        <f aca="false">INDEX('SLA Policy'!$B$2:$B$5,MATCH(E457,'SLA Policy'!$A$2:$A$5,0))</f>
        <v>8</v>
      </c>
      <c r="M457" s="2" t="str">
        <f aca="false">IF(K457="","Open",IF(K457&lt;=L457,"Yes","No"))</f>
        <v>No</v>
      </c>
    </row>
    <row r="458" customFormat="false" ht="15" hidden="false" customHeight="false" outlineLevel="0" collapsed="false">
      <c r="A458" s="2" t="s">
        <v>492</v>
      </c>
      <c r="B458" s="7" t="n">
        <v>46092.5965277778</v>
      </c>
      <c r="C458" s="7" t="n">
        <v>46093.2638888889</v>
      </c>
      <c r="D458" s="2" t="s">
        <v>27</v>
      </c>
      <c r="E458" s="2" t="s">
        <v>35</v>
      </c>
      <c r="F458" s="2" t="s">
        <v>24</v>
      </c>
      <c r="G458" s="2" t="s">
        <v>29</v>
      </c>
      <c r="H458" s="2" t="n">
        <v>4</v>
      </c>
      <c r="I458" s="2" t="str">
        <f aca="false">IF(C458="","Open","Resolved")</f>
        <v>Resolved</v>
      </c>
      <c r="J458" s="2" t="str">
        <f aca="false">TEXT(B458,"yyyy-mm")</f>
        <v>2026-03</v>
      </c>
      <c r="K458" s="8" t="n">
        <f aca="false">IF(C458="","",ROUND((C458-B458)*24,2))</f>
        <v>16.02</v>
      </c>
      <c r="L458" s="2" t="n">
        <f aca="false">INDEX('SLA Policy'!$B$2:$B$5,MATCH(E458,'SLA Policy'!$A$2:$A$5,0))</f>
        <v>24</v>
      </c>
      <c r="M458" s="2" t="str">
        <f aca="false">IF(K458="","Open",IF(K458&lt;=L458,"Yes","No"))</f>
        <v>Yes</v>
      </c>
    </row>
    <row r="459" customFormat="false" ht="15" hidden="false" customHeight="false" outlineLevel="0" collapsed="false">
      <c r="A459" s="2" t="s">
        <v>493</v>
      </c>
      <c r="B459" s="7" t="n">
        <v>46092.74375</v>
      </c>
      <c r="C459" s="7" t="n">
        <v>46092.84375</v>
      </c>
      <c r="D459" s="2" t="s">
        <v>31</v>
      </c>
      <c r="E459" s="2" t="s">
        <v>40</v>
      </c>
      <c r="F459" s="2" t="s">
        <v>27</v>
      </c>
      <c r="G459" s="2" t="s">
        <v>33</v>
      </c>
      <c r="H459" s="2" t="n">
        <v>5</v>
      </c>
      <c r="I459" s="2" t="str">
        <f aca="false">IF(C459="","Open","Resolved")</f>
        <v>Resolved</v>
      </c>
      <c r="J459" s="2" t="str">
        <f aca="false">TEXT(B459,"yyyy-mm")</f>
        <v>2026-03</v>
      </c>
      <c r="K459" s="8" t="n">
        <f aca="false">IF(C459="","",ROUND((C459-B459)*24,2))</f>
        <v>2.4</v>
      </c>
      <c r="L459" s="2" t="n">
        <f aca="false">INDEX('SLA Policy'!$B$2:$B$5,MATCH(E459,'SLA Policy'!$A$2:$A$5,0))</f>
        <v>4</v>
      </c>
      <c r="M459" s="2" t="str">
        <f aca="false">IF(K459="","Open",IF(K459&lt;=L459,"Yes","No"))</f>
        <v>Yes</v>
      </c>
    </row>
    <row r="460" customFormat="false" ht="15" hidden="false" customHeight="false" outlineLevel="0" collapsed="false">
      <c r="A460" s="2" t="s">
        <v>494</v>
      </c>
      <c r="B460" s="7" t="n">
        <v>46093.3305555556</v>
      </c>
      <c r="C460" s="7" t="n">
        <v>46095.0805555556</v>
      </c>
      <c r="D460" s="2" t="s">
        <v>48</v>
      </c>
      <c r="E460" s="2" t="s">
        <v>23</v>
      </c>
      <c r="F460" s="2" t="s">
        <v>27</v>
      </c>
      <c r="G460" s="2" t="s">
        <v>25</v>
      </c>
      <c r="H460" s="2" t="n">
        <v>3</v>
      </c>
      <c r="I460" s="2" t="str">
        <f aca="false">IF(C460="","Open","Resolved")</f>
        <v>Resolved</v>
      </c>
      <c r="J460" s="2" t="str">
        <f aca="false">TEXT(B460,"yyyy-mm")</f>
        <v>2026-03</v>
      </c>
      <c r="K460" s="8" t="n">
        <f aca="false">IF(C460="","",ROUND((C460-B460)*24,2))</f>
        <v>42</v>
      </c>
      <c r="L460" s="2" t="n">
        <f aca="false">INDEX('SLA Policy'!$B$2:$B$5,MATCH(E460,'SLA Policy'!$A$2:$A$5,0))</f>
        <v>8</v>
      </c>
      <c r="M460" s="2" t="str">
        <f aca="false">IF(K460="","Open",IF(K460&lt;=L460,"Yes","No"))</f>
        <v>No</v>
      </c>
    </row>
    <row r="461" customFormat="false" ht="15" hidden="false" customHeight="false" outlineLevel="0" collapsed="false">
      <c r="A461" s="2" t="s">
        <v>495</v>
      </c>
      <c r="B461" s="7" t="n">
        <v>46093.3555555556</v>
      </c>
      <c r="C461" s="7" t="n">
        <v>46093.4965277778</v>
      </c>
      <c r="D461" s="2" t="s">
        <v>48</v>
      </c>
      <c r="E461" s="2" t="s">
        <v>23</v>
      </c>
      <c r="F461" s="2" t="s">
        <v>38</v>
      </c>
      <c r="G461" s="2" t="s">
        <v>25</v>
      </c>
      <c r="H461" s="2" t="n">
        <v>5</v>
      </c>
      <c r="I461" s="2" t="str">
        <f aca="false">IF(C461="","Open","Resolved")</f>
        <v>Resolved</v>
      </c>
      <c r="J461" s="2" t="str">
        <f aca="false">TEXT(B461,"yyyy-mm")</f>
        <v>2026-03</v>
      </c>
      <c r="K461" s="8" t="n">
        <f aca="false">IF(C461="","",ROUND((C461-B461)*24,2))</f>
        <v>3.38</v>
      </c>
      <c r="L461" s="2" t="n">
        <f aca="false">INDEX('SLA Policy'!$B$2:$B$5,MATCH(E461,'SLA Policy'!$A$2:$A$5,0))</f>
        <v>8</v>
      </c>
      <c r="M461" s="2" t="str">
        <f aca="false">IF(K461="","Open",IF(K461&lt;=L461,"Yes","No"))</f>
        <v>Yes</v>
      </c>
    </row>
    <row r="462" customFormat="false" ht="15" hidden="false" customHeight="false" outlineLevel="0" collapsed="false">
      <c r="A462" s="2" t="s">
        <v>496</v>
      </c>
      <c r="B462" s="7" t="n">
        <v>46093.3631944444</v>
      </c>
      <c r="C462" s="7" t="n">
        <v>46093.9868055556</v>
      </c>
      <c r="D462" s="2" t="s">
        <v>48</v>
      </c>
      <c r="E462" s="2" t="s">
        <v>23</v>
      </c>
      <c r="F462" s="2" t="s">
        <v>24</v>
      </c>
      <c r="G462" s="2" t="s">
        <v>25</v>
      </c>
      <c r="H462" s="2" t="n">
        <v>4</v>
      </c>
      <c r="I462" s="2" t="str">
        <f aca="false">IF(C462="","Open","Resolved")</f>
        <v>Resolved</v>
      </c>
      <c r="J462" s="2" t="str">
        <f aca="false">TEXT(B462,"yyyy-mm")</f>
        <v>2026-03</v>
      </c>
      <c r="K462" s="8" t="n">
        <f aca="false">IF(C462="","",ROUND((C462-B462)*24,2))</f>
        <v>14.97</v>
      </c>
      <c r="L462" s="2" t="n">
        <f aca="false">INDEX('SLA Policy'!$B$2:$B$5,MATCH(E462,'SLA Policy'!$A$2:$A$5,0))</f>
        <v>8</v>
      </c>
      <c r="M462" s="2" t="str">
        <f aca="false">IF(K462="","Open",IF(K462&lt;=L462,"Yes","No"))</f>
        <v>No</v>
      </c>
    </row>
    <row r="463" customFormat="false" ht="15" hidden="false" customHeight="false" outlineLevel="0" collapsed="false">
      <c r="A463" s="2" t="s">
        <v>497</v>
      </c>
      <c r="B463" s="7" t="n">
        <v>46093.4576388889</v>
      </c>
      <c r="C463" s="7" t="n">
        <v>46093.8631944444</v>
      </c>
      <c r="D463" s="2" t="s">
        <v>31</v>
      </c>
      <c r="E463" s="2" t="s">
        <v>35</v>
      </c>
      <c r="F463" s="2" t="s">
        <v>27</v>
      </c>
      <c r="G463" s="2" t="s">
        <v>33</v>
      </c>
      <c r="H463" s="2" t="n">
        <v>5</v>
      </c>
      <c r="I463" s="2" t="str">
        <f aca="false">IF(C463="","Open","Resolved")</f>
        <v>Resolved</v>
      </c>
      <c r="J463" s="2" t="str">
        <f aca="false">TEXT(B463,"yyyy-mm")</f>
        <v>2026-03</v>
      </c>
      <c r="K463" s="8" t="n">
        <f aca="false">IF(C463="","",ROUND((C463-B463)*24,2))</f>
        <v>9.73</v>
      </c>
      <c r="L463" s="2" t="n">
        <f aca="false">INDEX('SLA Policy'!$B$2:$B$5,MATCH(E463,'SLA Policy'!$A$2:$A$5,0))</f>
        <v>24</v>
      </c>
      <c r="M463" s="2" t="str">
        <f aca="false">IF(K463="","Open",IF(K463&lt;=L463,"Yes","No"))</f>
        <v>Yes</v>
      </c>
    </row>
    <row r="464" customFormat="false" ht="15" hidden="false" customHeight="false" outlineLevel="0" collapsed="false">
      <c r="A464" s="2" t="s">
        <v>498</v>
      </c>
      <c r="B464" s="7" t="n">
        <v>46093.4777777778</v>
      </c>
      <c r="C464" s="7" t="n">
        <v>46095.5409722222</v>
      </c>
      <c r="D464" s="2" t="s">
        <v>31</v>
      </c>
      <c r="E464" s="2" t="s">
        <v>32</v>
      </c>
      <c r="F464" s="2" t="s">
        <v>38</v>
      </c>
      <c r="G464" s="2" t="s">
        <v>33</v>
      </c>
      <c r="H464" s="2" t="n">
        <v>3</v>
      </c>
      <c r="I464" s="2" t="str">
        <f aca="false">IF(C464="","Open","Resolved")</f>
        <v>Resolved</v>
      </c>
      <c r="J464" s="2" t="str">
        <f aca="false">TEXT(B464,"yyyy-mm")</f>
        <v>2026-03</v>
      </c>
      <c r="K464" s="8" t="n">
        <f aca="false">IF(C464="","",ROUND((C464-B464)*24,2))</f>
        <v>49.52</v>
      </c>
      <c r="L464" s="2" t="n">
        <f aca="false">INDEX('SLA Policy'!$B$2:$B$5,MATCH(E464,'SLA Policy'!$A$2:$A$5,0))</f>
        <v>72</v>
      </c>
      <c r="M464" s="2" t="str">
        <f aca="false">IF(K464="","Open",IF(K464&lt;=L464,"Yes","No"))</f>
        <v>Yes</v>
      </c>
    </row>
    <row r="465" customFormat="false" ht="15" hidden="false" customHeight="false" outlineLevel="0" collapsed="false">
      <c r="A465" s="2" t="s">
        <v>499</v>
      </c>
      <c r="B465" s="7" t="n">
        <v>46093.5305555556</v>
      </c>
      <c r="C465" s="7" t="n">
        <v>46093.7743055556</v>
      </c>
      <c r="D465" s="2" t="s">
        <v>42</v>
      </c>
      <c r="E465" s="2" t="s">
        <v>35</v>
      </c>
      <c r="F465" s="2" t="s">
        <v>24</v>
      </c>
      <c r="G465" s="2" t="s">
        <v>29</v>
      </c>
      <c r="H465" s="2" t="n">
        <v>5</v>
      </c>
      <c r="I465" s="2" t="str">
        <f aca="false">IF(C465="","Open","Resolved")</f>
        <v>Resolved</v>
      </c>
      <c r="J465" s="2" t="str">
        <f aca="false">TEXT(B465,"yyyy-mm")</f>
        <v>2026-03</v>
      </c>
      <c r="K465" s="8" t="n">
        <f aca="false">IF(C465="","",ROUND((C465-B465)*24,2))</f>
        <v>5.85</v>
      </c>
      <c r="L465" s="2" t="n">
        <f aca="false">INDEX('SLA Policy'!$B$2:$B$5,MATCH(E465,'SLA Policy'!$A$2:$A$5,0))</f>
        <v>24</v>
      </c>
      <c r="M465" s="2" t="str">
        <f aca="false">IF(K465="","Open",IF(K465&lt;=L465,"Yes","No"))</f>
        <v>Yes</v>
      </c>
    </row>
    <row r="466" customFormat="false" ht="15" hidden="false" customHeight="false" outlineLevel="0" collapsed="false">
      <c r="A466" s="2" t="s">
        <v>500</v>
      </c>
      <c r="B466" s="7" t="n">
        <v>46093.6</v>
      </c>
      <c r="C466" s="7" t="n">
        <v>46096.0868055556</v>
      </c>
      <c r="D466" s="2" t="s">
        <v>31</v>
      </c>
      <c r="E466" s="2" t="s">
        <v>32</v>
      </c>
      <c r="F466" s="2" t="s">
        <v>27</v>
      </c>
      <c r="G466" s="2" t="s">
        <v>33</v>
      </c>
      <c r="H466" s="2" t="n">
        <v>3</v>
      </c>
      <c r="I466" s="2" t="str">
        <f aca="false">IF(C466="","Open","Resolved")</f>
        <v>Resolved</v>
      </c>
      <c r="J466" s="2" t="str">
        <f aca="false">TEXT(B466,"yyyy-mm")</f>
        <v>2026-03</v>
      </c>
      <c r="K466" s="8" t="n">
        <f aca="false">IF(C466="","",ROUND((C466-B466)*24,2))</f>
        <v>59.68</v>
      </c>
      <c r="L466" s="2" t="n">
        <f aca="false">INDEX('SLA Policy'!$B$2:$B$5,MATCH(E466,'SLA Policy'!$A$2:$A$5,0))</f>
        <v>72</v>
      </c>
      <c r="M466" s="2" t="str">
        <f aca="false">IF(K466="","Open",IF(K466&lt;=L466,"Yes","No"))</f>
        <v>Yes</v>
      </c>
    </row>
    <row r="467" customFormat="false" ht="15" hidden="false" customHeight="false" outlineLevel="0" collapsed="false">
      <c r="A467" s="2" t="s">
        <v>501</v>
      </c>
      <c r="B467" s="7" t="n">
        <v>46093.6083333333</v>
      </c>
      <c r="C467" s="7" t="n">
        <v>46094.19375</v>
      </c>
      <c r="D467" s="2" t="s">
        <v>48</v>
      </c>
      <c r="E467" s="2" t="s">
        <v>23</v>
      </c>
      <c r="F467" s="2" t="s">
        <v>24</v>
      </c>
      <c r="G467" s="2" t="s">
        <v>25</v>
      </c>
      <c r="H467" s="2" t="n">
        <v>4</v>
      </c>
      <c r="I467" s="2" t="str">
        <f aca="false">IF(C467="","Open","Resolved")</f>
        <v>Resolved</v>
      </c>
      <c r="J467" s="2" t="str">
        <f aca="false">TEXT(B467,"yyyy-mm")</f>
        <v>2026-03</v>
      </c>
      <c r="K467" s="8" t="n">
        <f aca="false">IF(C467="","",ROUND((C467-B467)*24,2))</f>
        <v>14.05</v>
      </c>
      <c r="L467" s="2" t="n">
        <f aca="false">INDEX('SLA Policy'!$B$2:$B$5,MATCH(E467,'SLA Policy'!$A$2:$A$5,0))</f>
        <v>8</v>
      </c>
      <c r="M467" s="2" t="str">
        <f aca="false">IF(K467="","Open",IF(K467&lt;=L467,"Yes","No"))</f>
        <v>No</v>
      </c>
    </row>
    <row r="468" customFormat="false" ht="15" hidden="false" customHeight="false" outlineLevel="0" collapsed="false">
      <c r="A468" s="2" t="s">
        <v>502</v>
      </c>
      <c r="B468" s="7" t="n">
        <v>46093.6541666667</v>
      </c>
      <c r="C468" s="7" t="n">
        <v>46094.0923611111</v>
      </c>
      <c r="D468" s="2" t="s">
        <v>27</v>
      </c>
      <c r="E468" s="2" t="s">
        <v>23</v>
      </c>
      <c r="F468" s="2" t="s">
        <v>24</v>
      </c>
      <c r="G468" s="2" t="s">
        <v>29</v>
      </c>
      <c r="H468" s="2" t="n">
        <v>4</v>
      </c>
      <c r="I468" s="2" t="str">
        <f aca="false">IF(C468="","Open","Resolved")</f>
        <v>Resolved</v>
      </c>
      <c r="J468" s="2" t="str">
        <f aca="false">TEXT(B468,"yyyy-mm")</f>
        <v>2026-03</v>
      </c>
      <c r="K468" s="8" t="n">
        <f aca="false">IF(C468="","",ROUND((C468-B468)*24,2))</f>
        <v>10.52</v>
      </c>
      <c r="L468" s="2" t="n">
        <f aca="false">INDEX('SLA Policy'!$B$2:$B$5,MATCH(E468,'SLA Policy'!$A$2:$A$5,0))</f>
        <v>8</v>
      </c>
      <c r="M468" s="2" t="str">
        <f aca="false">IF(K468="","Open",IF(K468&lt;=L468,"Yes","No"))</f>
        <v>No</v>
      </c>
    </row>
    <row r="469" customFormat="false" ht="15" hidden="false" customHeight="false" outlineLevel="0" collapsed="false">
      <c r="A469" s="2" t="s">
        <v>503</v>
      </c>
      <c r="B469" s="7" t="n">
        <v>46093.6569444445</v>
      </c>
      <c r="C469" s="7" t="n">
        <v>46093.9013888889</v>
      </c>
      <c r="D469" s="2" t="s">
        <v>31</v>
      </c>
      <c r="E469" s="2" t="s">
        <v>23</v>
      </c>
      <c r="F469" s="2" t="s">
        <v>27</v>
      </c>
      <c r="G469" s="2" t="s">
        <v>33</v>
      </c>
      <c r="H469" s="2" t="n">
        <v>5</v>
      </c>
      <c r="I469" s="2" t="str">
        <f aca="false">IF(C469="","Open","Resolved")</f>
        <v>Resolved</v>
      </c>
      <c r="J469" s="2" t="str">
        <f aca="false">TEXT(B469,"yyyy-mm")</f>
        <v>2026-03</v>
      </c>
      <c r="K469" s="8" t="n">
        <f aca="false">IF(C469="","",ROUND((C469-B469)*24,2))</f>
        <v>5.87</v>
      </c>
      <c r="L469" s="2" t="n">
        <f aca="false">INDEX('SLA Policy'!$B$2:$B$5,MATCH(E469,'SLA Policy'!$A$2:$A$5,0))</f>
        <v>8</v>
      </c>
      <c r="M469" s="2" t="str">
        <f aca="false">IF(K469="","Open",IF(K469&lt;=L469,"Yes","No"))</f>
        <v>Yes</v>
      </c>
    </row>
    <row r="470" customFormat="false" ht="15" hidden="false" customHeight="false" outlineLevel="0" collapsed="false">
      <c r="A470" s="2" t="s">
        <v>504</v>
      </c>
      <c r="B470" s="7" t="n">
        <v>46093.6784722222</v>
      </c>
      <c r="C470" s="7" t="n">
        <v>46093.98125</v>
      </c>
      <c r="D470" s="2" t="s">
        <v>42</v>
      </c>
      <c r="E470" s="2" t="s">
        <v>35</v>
      </c>
      <c r="F470" s="2" t="s">
        <v>38</v>
      </c>
      <c r="G470" s="2" t="s">
        <v>29</v>
      </c>
      <c r="H470" s="2" t="n">
        <v>5</v>
      </c>
      <c r="I470" s="2" t="str">
        <f aca="false">IF(C470="","Open","Resolved")</f>
        <v>Resolved</v>
      </c>
      <c r="J470" s="2" t="str">
        <f aca="false">TEXT(B470,"yyyy-mm")</f>
        <v>2026-03</v>
      </c>
      <c r="K470" s="8" t="n">
        <f aca="false">IF(C470="","",ROUND((C470-B470)*24,2))</f>
        <v>7.27</v>
      </c>
      <c r="L470" s="2" t="n">
        <f aca="false">INDEX('SLA Policy'!$B$2:$B$5,MATCH(E470,'SLA Policy'!$A$2:$A$5,0))</f>
        <v>24</v>
      </c>
      <c r="M470" s="2" t="str">
        <f aca="false">IF(K470="","Open",IF(K470&lt;=L470,"Yes","No"))</f>
        <v>Yes</v>
      </c>
    </row>
    <row r="471" customFormat="false" ht="15" hidden="false" customHeight="false" outlineLevel="0" collapsed="false">
      <c r="A471" s="2" t="s">
        <v>505</v>
      </c>
      <c r="B471" s="7" t="n">
        <v>46093.6888888889</v>
      </c>
      <c r="C471" s="7" t="n">
        <v>46093.9520833333</v>
      </c>
      <c r="D471" s="2" t="s">
        <v>42</v>
      </c>
      <c r="E471" s="2" t="s">
        <v>35</v>
      </c>
      <c r="F471" s="2" t="s">
        <v>24</v>
      </c>
      <c r="G471" s="2" t="s">
        <v>29</v>
      </c>
      <c r="H471" s="2" t="n">
        <v>4</v>
      </c>
      <c r="I471" s="2" t="str">
        <f aca="false">IF(C471="","Open","Resolved")</f>
        <v>Resolved</v>
      </c>
      <c r="J471" s="2" t="str">
        <f aca="false">TEXT(B471,"yyyy-mm")</f>
        <v>2026-03</v>
      </c>
      <c r="K471" s="8" t="n">
        <f aca="false">IF(C471="","",ROUND((C471-B471)*24,2))</f>
        <v>6.32</v>
      </c>
      <c r="L471" s="2" t="n">
        <f aca="false">INDEX('SLA Policy'!$B$2:$B$5,MATCH(E471,'SLA Policy'!$A$2:$A$5,0))</f>
        <v>24</v>
      </c>
      <c r="M471" s="2" t="str">
        <f aca="false">IF(K471="","Open",IF(K471&lt;=L471,"Yes","No"))</f>
        <v>Yes</v>
      </c>
    </row>
    <row r="472" customFormat="false" ht="15" hidden="false" customHeight="false" outlineLevel="0" collapsed="false">
      <c r="A472" s="2" t="s">
        <v>506</v>
      </c>
      <c r="B472" s="7" t="n">
        <v>46093.6930555556</v>
      </c>
      <c r="C472" s="7" t="n">
        <v>46094.3229166667</v>
      </c>
      <c r="D472" s="2" t="s">
        <v>22</v>
      </c>
      <c r="E472" s="2" t="s">
        <v>23</v>
      </c>
      <c r="F472" s="2" t="s">
        <v>38</v>
      </c>
      <c r="G472" s="2" t="s">
        <v>25</v>
      </c>
      <c r="H472" s="2" t="n">
        <v>5</v>
      </c>
      <c r="I472" s="2" t="str">
        <f aca="false">IF(C472="","Open","Resolved")</f>
        <v>Resolved</v>
      </c>
      <c r="J472" s="2" t="str">
        <f aca="false">TEXT(B472,"yyyy-mm")</f>
        <v>2026-03</v>
      </c>
      <c r="K472" s="8" t="n">
        <f aca="false">IF(C472="","",ROUND((C472-B472)*24,2))</f>
        <v>15.12</v>
      </c>
      <c r="L472" s="2" t="n">
        <f aca="false">INDEX('SLA Policy'!$B$2:$B$5,MATCH(E472,'SLA Policy'!$A$2:$A$5,0))</f>
        <v>8</v>
      </c>
      <c r="M472" s="2" t="str">
        <f aca="false">IF(K472="","Open",IF(K472&lt;=L472,"Yes","No"))</f>
        <v>No</v>
      </c>
    </row>
    <row r="473" customFormat="false" ht="15" hidden="false" customHeight="false" outlineLevel="0" collapsed="false">
      <c r="A473" s="2" t="s">
        <v>507</v>
      </c>
      <c r="B473" s="7" t="n">
        <v>46094.4173611111</v>
      </c>
      <c r="C473" s="7" t="n">
        <v>46094.7173611111</v>
      </c>
      <c r="D473" s="2" t="s">
        <v>31</v>
      </c>
      <c r="E473" s="2" t="s">
        <v>23</v>
      </c>
      <c r="F473" s="2" t="s">
        <v>38</v>
      </c>
      <c r="G473" s="2" t="s">
        <v>33</v>
      </c>
      <c r="H473" s="2" t="n">
        <v>5</v>
      </c>
      <c r="I473" s="2" t="str">
        <f aca="false">IF(C473="","Open","Resolved")</f>
        <v>Resolved</v>
      </c>
      <c r="J473" s="2" t="str">
        <f aca="false">TEXT(B473,"yyyy-mm")</f>
        <v>2026-03</v>
      </c>
      <c r="K473" s="8" t="n">
        <f aca="false">IF(C473="","",ROUND((C473-B473)*24,2))</f>
        <v>7.2</v>
      </c>
      <c r="L473" s="2" t="n">
        <f aca="false">INDEX('SLA Policy'!$B$2:$B$5,MATCH(E473,'SLA Policy'!$A$2:$A$5,0))</f>
        <v>8</v>
      </c>
      <c r="M473" s="2" t="str">
        <f aca="false">IF(K473="","Open",IF(K473&lt;=L473,"Yes","No"))</f>
        <v>Yes</v>
      </c>
    </row>
    <row r="474" customFormat="false" ht="15" hidden="false" customHeight="false" outlineLevel="0" collapsed="false">
      <c r="A474" s="2" t="s">
        <v>508</v>
      </c>
      <c r="B474" s="7" t="n">
        <v>46094.4201388889</v>
      </c>
      <c r="C474" s="7" t="n">
        <v>46095.5993055556</v>
      </c>
      <c r="D474" s="2" t="s">
        <v>48</v>
      </c>
      <c r="E474" s="2" t="s">
        <v>32</v>
      </c>
      <c r="F474" s="2" t="s">
        <v>38</v>
      </c>
      <c r="G474" s="2" t="s">
        <v>25</v>
      </c>
      <c r="H474" s="2" t="n">
        <v>3</v>
      </c>
      <c r="I474" s="2" t="str">
        <f aca="false">IF(C474="","Open","Resolved")</f>
        <v>Resolved</v>
      </c>
      <c r="J474" s="2" t="str">
        <f aca="false">TEXT(B474,"yyyy-mm")</f>
        <v>2026-03</v>
      </c>
      <c r="K474" s="8" t="n">
        <f aca="false">IF(C474="","",ROUND((C474-B474)*24,2))</f>
        <v>28.3</v>
      </c>
      <c r="L474" s="2" t="n">
        <f aca="false">INDEX('SLA Policy'!$B$2:$B$5,MATCH(E474,'SLA Policy'!$A$2:$A$5,0))</f>
        <v>72</v>
      </c>
      <c r="M474" s="2" t="str">
        <f aca="false">IF(K474="","Open",IF(K474&lt;=L474,"Yes","No"))</f>
        <v>Yes</v>
      </c>
    </row>
    <row r="475" customFormat="false" ht="15" hidden="false" customHeight="false" outlineLevel="0" collapsed="false">
      <c r="A475" s="2" t="s">
        <v>509</v>
      </c>
      <c r="B475" s="7" t="n">
        <v>46094.43125</v>
      </c>
      <c r="C475" s="7" t="n">
        <v>46096.4944444444</v>
      </c>
      <c r="D475" s="2" t="s">
        <v>31</v>
      </c>
      <c r="E475" s="2" t="s">
        <v>32</v>
      </c>
      <c r="F475" s="2" t="s">
        <v>28</v>
      </c>
      <c r="G475" s="2" t="s">
        <v>33</v>
      </c>
      <c r="H475" s="2" t="n">
        <v>3</v>
      </c>
      <c r="I475" s="2" t="str">
        <f aca="false">IF(C475="","Open","Resolved")</f>
        <v>Resolved</v>
      </c>
      <c r="J475" s="2" t="str">
        <f aca="false">TEXT(B475,"yyyy-mm")</f>
        <v>2026-03</v>
      </c>
      <c r="K475" s="8" t="n">
        <f aca="false">IF(C475="","",ROUND((C475-B475)*24,2))</f>
        <v>49.52</v>
      </c>
      <c r="L475" s="2" t="n">
        <f aca="false">INDEX('SLA Policy'!$B$2:$B$5,MATCH(E475,'SLA Policy'!$A$2:$A$5,0))</f>
        <v>72</v>
      </c>
      <c r="M475" s="2" t="str">
        <f aca="false">IF(K475="","Open",IF(K475&lt;=L475,"Yes","No"))</f>
        <v>Yes</v>
      </c>
    </row>
    <row r="476" customFormat="false" ht="15" hidden="false" customHeight="false" outlineLevel="0" collapsed="false">
      <c r="A476" s="2" t="s">
        <v>510</v>
      </c>
      <c r="B476" s="7" t="n">
        <v>46094.5229166667</v>
      </c>
      <c r="C476" s="7" t="n">
        <v>46094.7986111111</v>
      </c>
      <c r="D476" s="2" t="s">
        <v>31</v>
      </c>
      <c r="E476" s="2" t="s">
        <v>40</v>
      </c>
      <c r="F476" s="2" t="s">
        <v>27</v>
      </c>
      <c r="G476" s="2" t="s">
        <v>33</v>
      </c>
      <c r="H476" s="2" t="n">
        <v>5</v>
      </c>
      <c r="I476" s="2" t="str">
        <f aca="false">IF(C476="","Open","Resolved")</f>
        <v>Resolved</v>
      </c>
      <c r="J476" s="2" t="str">
        <f aca="false">TEXT(B476,"yyyy-mm")</f>
        <v>2026-03</v>
      </c>
      <c r="K476" s="8" t="n">
        <f aca="false">IF(C476="","",ROUND((C476-B476)*24,2))</f>
        <v>6.62</v>
      </c>
      <c r="L476" s="2" t="n">
        <f aca="false">INDEX('SLA Policy'!$B$2:$B$5,MATCH(E476,'SLA Policy'!$A$2:$A$5,0))</f>
        <v>4</v>
      </c>
      <c r="M476" s="2" t="str">
        <f aca="false">IF(K476="","Open",IF(K476&lt;=L476,"Yes","No"))</f>
        <v>No</v>
      </c>
    </row>
    <row r="477" customFormat="false" ht="15" hidden="false" customHeight="false" outlineLevel="0" collapsed="false">
      <c r="A477" s="2" t="s">
        <v>511</v>
      </c>
      <c r="B477" s="7" t="n">
        <v>46094.5493055556</v>
      </c>
      <c r="C477" s="7" t="n">
        <v>46095.5402777778</v>
      </c>
      <c r="D477" s="2" t="s">
        <v>31</v>
      </c>
      <c r="E477" s="2" t="s">
        <v>35</v>
      </c>
      <c r="F477" s="2" t="s">
        <v>27</v>
      </c>
      <c r="G477" s="2" t="s">
        <v>33</v>
      </c>
      <c r="H477" s="2" t="n">
        <v>5</v>
      </c>
      <c r="I477" s="2" t="str">
        <f aca="false">IF(C477="","Open","Resolved")</f>
        <v>Resolved</v>
      </c>
      <c r="J477" s="2" t="str">
        <f aca="false">TEXT(B477,"yyyy-mm")</f>
        <v>2026-03</v>
      </c>
      <c r="K477" s="8" t="n">
        <f aca="false">IF(C477="","",ROUND((C477-B477)*24,2))</f>
        <v>23.78</v>
      </c>
      <c r="L477" s="2" t="n">
        <f aca="false">INDEX('SLA Policy'!$B$2:$B$5,MATCH(E477,'SLA Policy'!$A$2:$A$5,0))</f>
        <v>24</v>
      </c>
      <c r="M477" s="2" t="str">
        <f aca="false">IF(K477="","Open",IF(K477&lt;=L477,"Yes","No"))</f>
        <v>Yes</v>
      </c>
    </row>
    <row r="478" customFormat="false" ht="15" hidden="false" customHeight="false" outlineLevel="0" collapsed="false">
      <c r="A478" s="2" t="s">
        <v>512</v>
      </c>
      <c r="B478" s="7" t="n">
        <v>46094.5541666667</v>
      </c>
      <c r="C478" s="7" t="n">
        <v>46097.1652777778</v>
      </c>
      <c r="D478" s="2" t="s">
        <v>48</v>
      </c>
      <c r="E478" s="2" t="s">
        <v>32</v>
      </c>
      <c r="F478" s="2" t="s">
        <v>24</v>
      </c>
      <c r="G478" s="2" t="s">
        <v>25</v>
      </c>
      <c r="H478" s="2" t="n">
        <v>3</v>
      </c>
      <c r="I478" s="2" t="str">
        <f aca="false">IF(C478="","Open","Resolved")</f>
        <v>Resolved</v>
      </c>
      <c r="J478" s="2" t="str">
        <f aca="false">TEXT(B478,"yyyy-mm")</f>
        <v>2026-03</v>
      </c>
      <c r="K478" s="8" t="n">
        <f aca="false">IF(C478="","",ROUND((C478-B478)*24,2))</f>
        <v>62.67</v>
      </c>
      <c r="L478" s="2" t="n">
        <f aca="false">INDEX('SLA Policy'!$B$2:$B$5,MATCH(E478,'SLA Policy'!$A$2:$A$5,0))</f>
        <v>72</v>
      </c>
      <c r="M478" s="2" t="str">
        <f aca="false">IF(K478="","Open",IF(K478&lt;=L478,"Yes","No"))</f>
        <v>Yes</v>
      </c>
    </row>
    <row r="479" customFormat="false" ht="15" hidden="false" customHeight="false" outlineLevel="0" collapsed="false">
      <c r="A479" s="2" t="s">
        <v>513</v>
      </c>
      <c r="B479" s="7" t="n">
        <v>46094.6618055556</v>
      </c>
      <c r="C479" s="7" t="n">
        <v>46095.6361111111</v>
      </c>
      <c r="D479" s="2" t="s">
        <v>48</v>
      </c>
      <c r="E479" s="2" t="s">
        <v>35</v>
      </c>
      <c r="F479" s="2" t="s">
        <v>27</v>
      </c>
      <c r="G479" s="2" t="s">
        <v>25</v>
      </c>
      <c r="H479" s="2" t="n">
        <v>4</v>
      </c>
      <c r="I479" s="2" t="str">
        <f aca="false">IF(C479="","Open","Resolved")</f>
        <v>Resolved</v>
      </c>
      <c r="J479" s="2" t="str">
        <f aca="false">TEXT(B479,"yyyy-mm")</f>
        <v>2026-03</v>
      </c>
      <c r="K479" s="8" t="n">
        <f aca="false">IF(C479="","",ROUND((C479-B479)*24,2))</f>
        <v>23.38</v>
      </c>
      <c r="L479" s="2" t="n">
        <f aca="false">INDEX('SLA Policy'!$B$2:$B$5,MATCH(E479,'SLA Policy'!$A$2:$A$5,0))</f>
        <v>24</v>
      </c>
      <c r="M479" s="2" t="str">
        <f aca="false">IF(K479="","Open",IF(K479&lt;=L479,"Yes","No"))</f>
        <v>Yes</v>
      </c>
    </row>
    <row r="480" customFormat="false" ht="15" hidden="false" customHeight="false" outlineLevel="0" collapsed="false">
      <c r="A480" s="2" t="s">
        <v>514</v>
      </c>
      <c r="B480" s="7" t="n">
        <v>46094.6791666667</v>
      </c>
      <c r="C480" s="7" t="n">
        <v>46095.4770833333</v>
      </c>
      <c r="D480" s="2" t="s">
        <v>31</v>
      </c>
      <c r="E480" s="2" t="s">
        <v>35</v>
      </c>
      <c r="F480" s="2" t="s">
        <v>27</v>
      </c>
      <c r="G480" s="2" t="s">
        <v>33</v>
      </c>
      <c r="H480" s="2" t="n">
        <v>5</v>
      </c>
      <c r="I480" s="2" t="str">
        <f aca="false">IF(C480="","Open","Resolved")</f>
        <v>Resolved</v>
      </c>
      <c r="J480" s="2" t="str">
        <f aca="false">TEXT(B480,"yyyy-mm")</f>
        <v>2026-03</v>
      </c>
      <c r="K480" s="8" t="n">
        <f aca="false">IF(C480="","",ROUND((C480-B480)*24,2))</f>
        <v>19.15</v>
      </c>
      <c r="L480" s="2" t="n">
        <f aca="false">INDEX('SLA Policy'!$B$2:$B$5,MATCH(E480,'SLA Policy'!$A$2:$A$5,0))</f>
        <v>24</v>
      </c>
      <c r="M480" s="2" t="str">
        <f aca="false">IF(K480="","Open",IF(K480&lt;=L480,"Yes","No"))</f>
        <v>Yes</v>
      </c>
    </row>
    <row r="481" customFormat="false" ht="15" hidden="false" customHeight="false" outlineLevel="0" collapsed="false">
      <c r="A481" s="2" t="s">
        <v>515</v>
      </c>
      <c r="B481" s="7" t="n">
        <v>46094.7020833333</v>
      </c>
      <c r="C481" s="7" t="n">
        <v>46095.2215277778</v>
      </c>
      <c r="D481" s="2" t="s">
        <v>48</v>
      </c>
      <c r="E481" s="2" t="s">
        <v>23</v>
      </c>
      <c r="F481" s="2" t="s">
        <v>27</v>
      </c>
      <c r="G481" s="2" t="s">
        <v>25</v>
      </c>
      <c r="H481" s="2" t="n">
        <v>5</v>
      </c>
      <c r="I481" s="2" t="str">
        <f aca="false">IF(C481="","Open","Resolved")</f>
        <v>Resolved</v>
      </c>
      <c r="J481" s="2" t="str">
        <f aca="false">TEXT(B481,"yyyy-mm")</f>
        <v>2026-03</v>
      </c>
      <c r="K481" s="8" t="n">
        <f aca="false">IF(C481="","",ROUND((C481-B481)*24,2))</f>
        <v>12.47</v>
      </c>
      <c r="L481" s="2" t="n">
        <f aca="false">INDEX('SLA Policy'!$B$2:$B$5,MATCH(E481,'SLA Policy'!$A$2:$A$5,0))</f>
        <v>8</v>
      </c>
      <c r="M481" s="2" t="str">
        <f aca="false">IF(K481="","Open",IF(K481&lt;=L481,"Yes","No"))</f>
        <v>No</v>
      </c>
    </row>
    <row r="482" customFormat="false" ht="15" hidden="false" customHeight="false" outlineLevel="0" collapsed="false">
      <c r="A482" s="2" t="s">
        <v>516</v>
      </c>
      <c r="B482" s="7" t="n">
        <v>46094.7256944445</v>
      </c>
      <c r="C482" s="7" t="n">
        <v>46095.1944444445</v>
      </c>
      <c r="D482" s="2" t="s">
        <v>31</v>
      </c>
      <c r="E482" s="2" t="s">
        <v>23</v>
      </c>
      <c r="F482" s="2" t="s">
        <v>24</v>
      </c>
      <c r="G482" s="2" t="s">
        <v>33</v>
      </c>
      <c r="H482" s="2" t="n">
        <v>4</v>
      </c>
      <c r="I482" s="2" t="str">
        <f aca="false">IF(C482="","Open","Resolved")</f>
        <v>Resolved</v>
      </c>
      <c r="J482" s="2" t="str">
        <f aca="false">TEXT(B482,"yyyy-mm")</f>
        <v>2026-03</v>
      </c>
      <c r="K482" s="8" t="n">
        <f aca="false">IF(C482="","",ROUND((C482-B482)*24,2))</f>
        <v>11.25</v>
      </c>
      <c r="L482" s="2" t="n">
        <f aca="false">INDEX('SLA Policy'!$B$2:$B$5,MATCH(E482,'SLA Policy'!$A$2:$A$5,0))</f>
        <v>8</v>
      </c>
      <c r="M482" s="2" t="str">
        <f aca="false">IF(K482="","Open",IF(K482&lt;=L482,"Yes","No"))</f>
        <v>No</v>
      </c>
    </row>
    <row r="483" customFormat="false" ht="15" hidden="false" customHeight="false" outlineLevel="0" collapsed="false">
      <c r="A483" s="2" t="s">
        <v>517</v>
      </c>
      <c r="B483" s="7" t="n">
        <v>46094.7256944445</v>
      </c>
      <c r="C483" s="7" t="n">
        <v>46094.8243055556</v>
      </c>
      <c r="D483" s="2" t="s">
        <v>31</v>
      </c>
      <c r="E483" s="2" t="s">
        <v>40</v>
      </c>
      <c r="F483" s="2" t="s">
        <v>24</v>
      </c>
      <c r="G483" s="2" t="s">
        <v>33</v>
      </c>
      <c r="H483" s="2" t="n">
        <v>4</v>
      </c>
      <c r="I483" s="2" t="str">
        <f aca="false">IF(C483="","Open","Resolved")</f>
        <v>Resolved</v>
      </c>
      <c r="J483" s="2" t="str">
        <f aca="false">TEXT(B483,"yyyy-mm")</f>
        <v>2026-03</v>
      </c>
      <c r="K483" s="8" t="n">
        <f aca="false">IF(C483="","",ROUND((C483-B483)*24,2))</f>
        <v>2.37</v>
      </c>
      <c r="L483" s="2" t="n">
        <f aca="false">INDEX('SLA Policy'!$B$2:$B$5,MATCH(E483,'SLA Policy'!$A$2:$A$5,0))</f>
        <v>4</v>
      </c>
      <c r="M483" s="2" t="str">
        <f aca="false">IF(K483="","Open",IF(K483&lt;=L483,"Yes","No"))</f>
        <v>Yes</v>
      </c>
    </row>
    <row r="484" customFormat="false" ht="15" hidden="false" customHeight="false" outlineLevel="0" collapsed="false">
      <c r="A484" s="2" t="s">
        <v>518</v>
      </c>
      <c r="B484" s="7" t="n">
        <v>46094.7868055556</v>
      </c>
      <c r="C484" s="7" t="n">
        <v>46095.5423611111</v>
      </c>
      <c r="D484" s="2" t="s">
        <v>27</v>
      </c>
      <c r="E484" s="2" t="s">
        <v>35</v>
      </c>
      <c r="F484" s="2" t="s">
        <v>38</v>
      </c>
      <c r="G484" s="2" t="s">
        <v>29</v>
      </c>
      <c r="H484" s="2" t="n">
        <v>5</v>
      </c>
      <c r="I484" s="2" t="str">
        <f aca="false">IF(C484="","Open","Resolved")</f>
        <v>Resolved</v>
      </c>
      <c r="J484" s="2" t="str">
        <f aca="false">TEXT(B484,"yyyy-mm")</f>
        <v>2026-03</v>
      </c>
      <c r="K484" s="8" t="n">
        <f aca="false">IF(C484="","",ROUND((C484-B484)*24,2))</f>
        <v>18.13</v>
      </c>
      <c r="L484" s="2" t="n">
        <f aca="false">INDEX('SLA Policy'!$B$2:$B$5,MATCH(E484,'SLA Policy'!$A$2:$A$5,0))</f>
        <v>24</v>
      </c>
      <c r="M484" s="2" t="str">
        <f aca="false">IF(K484="","Open",IF(K484&lt;=L484,"Yes","No"))</f>
        <v>Yes</v>
      </c>
    </row>
    <row r="485" customFormat="false" ht="15" hidden="false" customHeight="false" outlineLevel="0" collapsed="false">
      <c r="A485" s="2" t="s">
        <v>519</v>
      </c>
      <c r="B485" s="7" t="n">
        <v>46095.4041666667</v>
      </c>
      <c r="C485" s="7" t="n">
        <v>46095.9208333333</v>
      </c>
      <c r="D485" s="2" t="s">
        <v>22</v>
      </c>
      <c r="E485" s="2" t="s">
        <v>35</v>
      </c>
      <c r="F485" s="2" t="s">
        <v>24</v>
      </c>
      <c r="G485" s="2" t="s">
        <v>25</v>
      </c>
      <c r="H485" s="2" t="n">
        <v>4</v>
      </c>
      <c r="I485" s="2" t="str">
        <f aca="false">IF(C485="","Open","Resolved")</f>
        <v>Resolved</v>
      </c>
      <c r="J485" s="2" t="str">
        <f aca="false">TEXT(B485,"yyyy-mm")</f>
        <v>2026-03</v>
      </c>
      <c r="K485" s="8" t="n">
        <f aca="false">IF(C485="","",ROUND((C485-B485)*24,2))</f>
        <v>12.4</v>
      </c>
      <c r="L485" s="2" t="n">
        <f aca="false">INDEX('SLA Policy'!$B$2:$B$5,MATCH(E485,'SLA Policy'!$A$2:$A$5,0))</f>
        <v>24</v>
      </c>
      <c r="M485" s="2" t="str">
        <f aca="false">IF(K485="","Open",IF(K485&lt;=L485,"Yes","No"))</f>
        <v>Yes</v>
      </c>
    </row>
    <row r="486" customFormat="false" ht="15" hidden="false" customHeight="false" outlineLevel="0" collapsed="false">
      <c r="A486" s="2" t="s">
        <v>520</v>
      </c>
      <c r="B486" s="7" t="n">
        <v>46095.7090277778</v>
      </c>
      <c r="C486" s="7" t="n">
        <v>46096.4534722222</v>
      </c>
      <c r="D486" s="2" t="s">
        <v>31</v>
      </c>
      <c r="E486" s="2" t="s">
        <v>35</v>
      </c>
      <c r="F486" s="2" t="s">
        <v>27</v>
      </c>
      <c r="G486" s="2" t="s">
        <v>33</v>
      </c>
      <c r="H486" s="2" t="n">
        <v>4</v>
      </c>
      <c r="I486" s="2" t="str">
        <f aca="false">IF(C486="","Open","Resolved")</f>
        <v>Resolved</v>
      </c>
      <c r="J486" s="2" t="str">
        <f aca="false">TEXT(B486,"yyyy-mm")</f>
        <v>2026-03</v>
      </c>
      <c r="K486" s="8" t="n">
        <f aca="false">IF(C486="","",ROUND((C486-B486)*24,2))</f>
        <v>17.87</v>
      </c>
      <c r="L486" s="2" t="n">
        <f aca="false">INDEX('SLA Policy'!$B$2:$B$5,MATCH(E486,'SLA Policy'!$A$2:$A$5,0))</f>
        <v>24</v>
      </c>
      <c r="M486" s="2" t="str">
        <f aca="false">IF(K486="","Open",IF(K486&lt;=L486,"Yes","No"))</f>
        <v>Yes</v>
      </c>
    </row>
    <row r="487" customFormat="false" ht="15" hidden="false" customHeight="false" outlineLevel="0" collapsed="false">
      <c r="A487" s="2" t="s">
        <v>521</v>
      </c>
      <c r="B487" s="7" t="n">
        <v>46096.3125</v>
      </c>
      <c r="C487" s="7" t="n">
        <v>46096.4840277778</v>
      </c>
      <c r="D487" s="2" t="s">
        <v>31</v>
      </c>
      <c r="E487" s="2" t="s">
        <v>23</v>
      </c>
      <c r="F487" s="2" t="s">
        <v>24</v>
      </c>
      <c r="G487" s="2" t="s">
        <v>33</v>
      </c>
      <c r="H487" s="2" t="n">
        <v>3</v>
      </c>
      <c r="I487" s="2" t="str">
        <f aca="false">IF(C487="","Open","Resolved")</f>
        <v>Resolved</v>
      </c>
      <c r="J487" s="2" t="str">
        <f aca="false">TEXT(B487,"yyyy-mm")</f>
        <v>2026-03</v>
      </c>
      <c r="K487" s="8" t="n">
        <f aca="false">IF(C487="","",ROUND((C487-B487)*24,2))</f>
        <v>4.12</v>
      </c>
      <c r="L487" s="2" t="n">
        <f aca="false">INDEX('SLA Policy'!$B$2:$B$5,MATCH(E487,'SLA Policy'!$A$2:$A$5,0))</f>
        <v>8</v>
      </c>
      <c r="M487" s="2" t="str">
        <f aca="false">IF(K487="","Open",IF(K487&lt;=L487,"Yes","No"))</f>
        <v>Yes</v>
      </c>
    </row>
    <row r="488" customFormat="false" ht="15" hidden="false" customHeight="false" outlineLevel="0" collapsed="false">
      <c r="A488" s="2" t="s">
        <v>522</v>
      </c>
      <c r="B488" s="7" t="n">
        <v>46096.3291666667</v>
      </c>
      <c r="C488" s="7" t="n">
        <v>46099.11875</v>
      </c>
      <c r="D488" s="2" t="s">
        <v>22</v>
      </c>
      <c r="E488" s="2" t="s">
        <v>32</v>
      </c>
      <c r="F488" s="2" t="s">
        <v>24</v>
      </c>
      <c r="G488" s="2" t="s">
        <v>25</v>
      </c>
      <c r="H488" s="2" t="n">
        <v>2</v>
      </c>
      <c r="I488" s="2" t="str">
        <f aca="false">IF(C488="","Open","Resolved")</f>
        <v>Resolved</v>
      </c>
      <c r="J488" s="2" t="str">
        <f aca="false">TEXT(B488,"yyyy-mm")</f>
        <v>2026-03</v>
      </c>
      <c r="K488" s="8" t="n">
        <f aca="false">IF(C488="","",ROUND((C488-B488)*24,2))</f>
        <v>66.95</v>
      </c>
      <c r="L488" s="2" t="n">
        <f aca="false">INDEX('SLA Policy'!$B$2:$B$5,MATCH(E488,'SLA Policy'!$A$2:$A$5,0))</f>
        <v>72</v>
      </c>
      <c r="M488" s="2" t="str">
        <f aca="false">IF(K488="","Open",IF(K488&lt;=L488,"Yes","No"))</f>
        <v>Yes</v>
      </c>
    </row>
    <row r="489" customFormat="false" ht="15" hidden="false" customHeight="false" outlineLevel="0" collapsed="false">
      <c r="A489" s="2" t="s">
        <v>523</v>
      </c>
      <c r="B489" s="7" t="n">
        <v>46096.3368055556</v>
      </c>
      <c r="C489" s="7" t="n">
        <v>46096.5291666667</v>
      </c>
      <c r="D489" s="2" t="s">
        <v>42</v>
      </c>
      <c r="E489" s="2" t="s">
        <v>23</v>
      </c>
      <c r="F489" s="2" t="s">
        <v>27</v>
      </c>
      <c r="G489" s="2" t="s">
        <v>29</v>
      </c>
      <c r="H489" s="2" t="n">
        <v>5</v>
      </c>
      <c r="I489" s="2" t="str">
        <f aca="false">IF(C489="","Open","Resolved")</f>
        <v>Resolved</v>
      </c>
      <c r="J489" s="2" t="str">
        <f aca="false">TEXT(B489,"yyyy-mm")</f>
        <v>2026-03</v>
      </c>
      <c r="K489" s="8" t="n">
        <f aca="false">IF(C489="","",ROUND((C489-B489)*24,2))</f>
        <v>4.62</v>
      </c>
      <c r="L489" s="2" t="n">
        <f aca="false">INDEX('SLA Policy'!$B$2:$B$5,MATCH(E489,'SLA Policy'!$A$2:$A$5,0))</f>
        <v>8</v>
      </c>
      <c r="M489" s="2" t="str">
        <f aca="false">IF(K489="","Open",IF(K489&lt;=L489,"Yes","No"))</f>
        <v>Yes</v>
      </c>
    </row>
    <row r="490" customFormat="false" ht="15" hidden="false" customHeight="false" outlineLevel="0" collapsed="false">
      <c r="A490" s="2" t="s">
        <v>524</v>
      </c>
      <c r="B490" s="7" t="n">
        <v>46096.3527777778</v>
      </c>
      <c r="C490" s="7" t="n">
        <v>46097.0409722222</v>
      </c>
      <c r="D490" s="2" t="s">
        <v>42</v>
      </c>
      <c r="E490" s="2" t="s">
        <v>32</v>
      </c>
      <c r="F490" s="2" t="s">
        <v>27</v>
      </c>
      <c r="G490" s="2" t="s">
        <v>29</v>
      </c>
      <c r="H490" s="2" t="n">
        <v>5</v>
      </c>
      <c r="I490" s="2" t="str">
        <f aca="false">IF(C490="","Open","Resolved")</f>
        <v>Resolved</v>
      </c>
      <c r="J490" s="2" t="str">
        <f aca="false">TEXT(B490,"yyyy-mm")</f>
        <v>2026-03</v>
      </c>
      <c r="K490" s="8" t="n">
        <f aca="false">IF(C490="","",ROUND((C490-B490)*24,2))</f>
        <v>16.52</v>
      </c>
      <c r="L490" s="2" t="n">
        <f aca="false">INDEX('SLA Policy'!$B$2:$B$5,MATCH(E490,'SLA Policy'!$A$2:$A$5,0))</f>
        <v>72</v>
      </c>
      <c r="M490" s="2" t="str">
        <f aca="false">IF(K490="","Open",IF(K490&lt;=L490,"Yes","No"))</f>
        <v>Yes</v>
      </c>
    </row>
    <row r="491" customFormat="false" ht="15" hidden="false" customHeight="false" outlineLevel="0" collapsed="false">
      <c r="A491" s="2" t="s">
        <v>525</v>
      </c>
      <c r="B491" s="7" t="n">
        <v>46096.5604166667</v>
      </c>
      <c r="C491" s="7" t="n">
        <v>46097.3131944445</v>
      </c>
      <c r="D491" s="2" t="s">
        <v>31</v>
      </c>
      <c r="E491" s="2" t="s">
        <v>35</v>
      </c>
      <c r="F491" s="2" t="s">
        <v>27</v>
      </c>
      <c r="G491" s="2" t="s">
        <v>33</v>
      </c>
      <c r="H491" s="2" t="n">
        <v>5</v>
      </c>
      <c r="I491" s="2" t="str">
        <f aca="false">IF(C491="","Open","Resolved")</f>
        <v>Resolved</v>
      </c>
      <c r="J491" s="2" t="str">
        <f aca="false">TEXT(B491,"yyyy-mm")</f>
        <v>2026-03</v>
      </c>
      <c r="K491" s="8" t="n">
        <f aca="false">IF(C491="","",ROUND((C491-B491)*24,2))</f>
        <v>18.07</v>
      </c>
      <c r="L491" s="2" t="n">
        <f aca="false">INDEX('SLA Policy'!$B$2:$B$5,MATCH(E491,'SLA Policy'!$A$2:$A$5,0))</f>
        <v>24</v>
      </c>
      <c r="M491" s="2" t="str">
        <f aca="false">IF(K491="","Open",IF(K491&lt;=L491,"Yes","No"))</f>
        <v>Yes</v>
      </c>
    </row>
    <row r="492" customFormat="false" ht="15" hidden="false" customHeight="false" outlineLevel="0" collapsed="false">
      <c r="A492" s="2" t="s">
        <v>526</v>
      </c>
      <c r="B492" s="7" t="n">
        <v>46096.5763888889</v>
      </c>
      <c r="C492" s="7" t="n">
        <v>46097.0118055556</v>
      </c>
      <c r="D492" s="2" t="s">
        <v>42</v>
      </c>
      <c r="E492" s="2" t="s">
        <v>32</v>
      </c>
      <c r="F492" s="2" t="s">
        <v>27</v>
      </c>
      <c r="G492" s="2" t="s">
        <v>29</v>
      </c>
      <c r="H492" s="2" t="n">
        <v>4</v>
      </c>
      <c r="I492" s="2" t="str">
        <f aca="false">IF(C492="","Open","Resolved")</f>
        <v>Resolved</v>
      </c>
      <c r="J492" s="2" t="str">
        <f aca="false">TEXT(B492,"yyyy-mm")</f>
        <v>2026-03</v>
      </c>
      <c r="K492" s="8" t="n">
        <f aca="false">IF(C492="","",ROUND((C492-B492)*24,2))</f>
        <v>10.45</v>
      </c>
      <c r="L492" s="2" t="n">
        <f aca="false">INDEX('SLA Policy'!$B$2:$B$5,MATCH(E492,'SLA Policy'!$A$2:$A$5,0))</f>
        <v>72</v>
      </c>
      <c r="M492" s="2" t="str">
        <f aca="false">IF(K492="","Open",IF(K492&lt;=L492,"Yes","No"))</f>
        <v>Yes</v>
      </c>
    </row>
    <row r="493" customFormat="false" ht="15" hidden="false" customHeight="false" outlineLevel="0" collapsed="false">
      <c r="A493" s="2" t="s">
        <v>527</v>
      </c>
      <c r="B493" s="7" t="n">
        <v>46096.6034722222</v>
      </c>
      <c r="C493" s="7" t="n">
        <v>46097.2625</v>
      </c>
      <c r="D493" s="2" t="s">
        <v>31</v>
      </c>
      <c r="E493" s="2" t="s">
        <v>35</v>
      </c>
      <c r="F493" s="2" t="s">
        <v>24</v>
      </c>
      <c r="G493" s="2" t="s">
        <v>33</v>
      </c>
      <c r="H493" s="2" t="n">
        <v>3</v>
      </c>
      <c r="I493" s="2" t="str">
        <f aca="false">IF(C493="","Open","Resolved")</f>
        <v>Resolved</v>
      </c>
      <c r="J493" s="2" t="str">
        <f aca="false">TEXT(B493,"yyyy-mm")</f>
        <v>2026-03</v>
      </c>
      <c r="K493" s="8" t="n">
        <f aca="false">IF(C493="","",ROUND((C493-B493)*24,2))</f>
        <v>15.82</v>
      </c>
      <c r="L493" s="2" t="n">
        <f aca="false">INDEX('SLA Policy'!$B$2:$B$5,MATCH(E493,'SLA Policy'!$A$2:$A$5,0))</f>
        <v>24</v>
      </c>
      <c r="M493" s="2" t="str">
        <f aca="false">IF(K493="","Open",IF(K493&lt;=L493,"Yes","No"))</f>
        <v>Yes</v>
      </c>
    </row>
    <row r="494" customFormat="false" ht="15" hidden="false" customHeight="false" outlineLevel="0" collapsed="false">
      <c r="A494" s="2" t="s">
        <v>528</v>
      </c>
      <c r="B494" s="7" t="n">
        <v>46097.3201388889</v>
      </c>
      <c r="C494" s="7" t="n">
        <v>46097.39375</v>
      </c>
      <c r="D494" s="2" t="s">
        <v>31</v>
      </c>
      <c r="E494" s="2" t="s">
        <v>40</v>
      </c>
      <c r="F494" s="2" t="s">
        <v>28</v>
      </c>
      <c r="G494" s="2" t="s">
        <v>33</v>
      </c>
      <c r="H494" s="2" t="n">
        <v>4</v>
      </c>
      <c r="I494" s="2" t="str">
        <f aca="false">IF(C494="","Open","Resolved")</f>
        <v>Resolved</v>
      </c>
      <c r="J494" s="2" t="str">
        <f aca="false">TEXT(B494,"yyyy-mm")</f>
        <v>2026-03</v>
      </c>
      <c r="K494" s="8" t="n">
        <f aca="false">IF(C494="","",ROUND((C494-B494)*24,2))</f>
        <v>1.77</v>
      </c>
      <c r="L494" s="2" t="n">
        <f aca="false">INDEX('SLA Policy'!$B$2:$B$5,MATCH(E494,'SLA Policy'!$A$2:$A$5,0))</f>
        <v>4</v>
      </c>
      <c r="M494" s="2" t="str">
        <f aca="false">IF(K494="","Open",IF(K494&lt;=L494,"Yes","No"))</f>
        <v>Yes</v>
      </c>
    </row>
    <row r="495" customFormat="false" ht="15" hidden="false" customHeight="false" outlineLevel="0" collapsed="false">
      <c r="A495" s="2" t="s">
        <v>529</v>
      </c>
      <c r="B495" s="7" t="n">
        <v>46097.3319444444</v>
      </c>
      <c r="C495" s="7" t="n">
        <v>46098.0881944444</v>
      </c>
      <c r="D495" s="2" t="s">
        <v>31</v>
      </c>
      <c r="E495" s="2" t="s">
        <v>35</v>
      </c>
      <c r="F495" s="2" t="s">
        <v>24</v>
      </c>
      <c r="G495" s="2" t="s">
        <v>33</v>
      </c>
      <c r="H495" s="2" t="n">
        <v>4</v>
      </c>
      <c r="I495" s="2" t="str">
        <f aca="false">IF(C495="","Open","Resolved")</f>
        <v>Resolved</v>
      </c>
      <c r="J495" s="2" t="str">
        <f aca="false">TEXT(B495,"yyyy-mm")</f>
        <v>2026-03</v>
      </c>
      <c r="K495" s="8" t="n">
        <f aca="false">IF(C495="","",ROUND((C495-B495)*24,2))</f>
        <v>18.15</v>
      </c>
      <c r="L495" s="2" t="n">
        <f aca="false">INDEX('SLA Policy'!$B$2:$B$5,MATCH(E495,'SLA Policy'!$A$2:$A$5,0))</f>
        <v>24</v>
      </c>
      <c r="M495" s="2" t="str">
        <f aca="false">IF(K495="","Open",IF(K495&lt;=L495,"Yes","No"))</f>
        <v>Yes</v>
      </c>
    </row>
    <row r="496" customFormat="false" ht="15" hidden="false" customHeight="false" outlineLevel="0" collapsed="false">
      <c r="A496" s="2" t="s">
        <v>530</v>
      </c>
      <c r="B496" s="7" t="n">
        <v>46097.3590277778</v>
      </c>
      <c r="C496" s="7" t="n">
        <v>46097.5715277778</v>
      </c>
      <c r="D496" s="2" t="s">
        <v>31</v>
      </c>
      <c r="E496" s="2" t="s">
        <v>23</v>
      </c>
      <c r="F496" s="2" t="s">
        <v>28</v>
      </c>
      <c r="G496" s="2" t="s">
        <v>33</v>
      </c>
      <c r="H496" s="2" t="n">
        <v>5</v>
      </c>
      <c r="I496" s="2" t="str">
        <f aca="false">IF(C496="","Open","Resolved")</f>
        <v>Resolved</v>
      </c>
      <c r="J496" s="2" t="str">
        <f aca="false">TEXT(B496,"yyyy-mm")</f>
        <v>2026-03</v>
      </c>
      <c r="K496" s="8" t="n">
        <f aca="false">IF(C496="","",ROUND((C496-B496)*24,2))</f>
        <v>5.1</v>
      </c>
      <c r="L496" s="2" t="n">
        <f aca="false">INDEX('SLA Policy'!$B$2:$B$5,MATCH(E496,'SLA Policy'!$A$2:$A$5,0))</f>
        <v>8</v>
      </c>
      <c r="M496" s="2" t="str">
        <f aca="false">IF(K496="","Open",IF(K496&lt;=L496,"Yes","No"))</f>
        <v>Yes</v>
      </c>
    </row>
    <row r="497" customFormat="false" ht="15" hidden="false" customHeight="false" outlineLevel="0" collapsed="false">
      <c r="A497" s="2" t="s">
        <v>531</v>
      </c>
      <c r="B497" s="7" t="n">
        <v>46097.3791666667</v>
      </c>
      <c r="C497" s="7" t="n">
        <v>46099.9708333333</v>
      </c>
      <c r="D497" s="2" t="s">
        <v>22</v>
      </c>
      <c r="E497" s="2" t="s">
        <v>35</v>
      </c>
      <c r="F497" s="2" t="s">
        <v>27</v>
      </c>
      <c r="G497" s="2" t="s">
        <v>25</v>
      </c>
      <c r="H497" s="2" t="n">
        <v>3</v>
      </c>
      <c r="I497" s="2" t="str">
        <f aca="false">IF(C497="","Open","Resolved")</f>
        <v>Resolved</v>
      </c>
      <c r="J497" s="2" t="str">
        <f aca="false">TEXT(B497,"yyyy-mm")</f>
        <v>2026-03</v>
      </c>
      <c r="K497" s="8" t="n">
        <f aca="false">IF(C497="","",ROUND((C497-B497)*24,2))</f>
        <v>62.2</v>
      </c>
      <c r="L497" s="2" t="n">
        <f aca="false">INDEX('SLA Policy'!$B$2:$B$5,MATCH(E497,'SLA Policy'!$A$2:$A$5,0))</f>
        <v>24</v>
      </c>
      <c r="M497" s="2" t="str">
        <f aca="false">IF(K497="","Open",IF(K497&lt;=L497,"Yes","No"))</f>
        <v>No</v>
      </c>
    </row>
    <row r="498" customFormat="false" ht="15" hidden="false" customHeight="false" outlineLevel="0" collapsed="false">
      <c r="A498" s="2" t="s">
        <v>532</v>
      </c>
      <c r="B498" s="7" t="n">
        <v>46097.4041666667</v>
      </c>
      <c r="C498" s="7" t="n">
        <v>46098.51875</v>
      </c>
      <c r="D498" s="2" t="s">
        <v>31</v>
      </c>
      <c r="E498" s="2" t="s">
        <v>32</v>
      </c>
      <c r="F498" s="2" t="s">
        <v>28</v>
      </c>
      <c r="G498" s="2" t="s">
        <v>33</v>
      </c>
      <c r="H498" s="2" t="n">
        <v>4</v>
      </c>
      <c r="I498" s="2" t="str">
        <f aca="false">IF(C498="","Open","Resolved")</f>
        <v>Resolved</v>
      </c>
      <c r="J498" s="2" t="str">
        <f aca="false">TEXT(B498,"yyyy-mm")</f>
        <v>2026-03</v>
      </c>
      <c r="K498" s="8" t="n">
        <f aca="false">IF(C498="","",ROUND((C498-B498)*24,2))</f>
        <v>26.75</v>
      </c>
      <c r="L498" s="2" t="n">
        <f aca="false">INDEX('SLA Policy'!$B$2:$B$5,MATCH(E498,'SLA Policy'!$A$2:$A$5,0))</f>
        <v>72</v>
      </c>
      <c r="M498" s="2" t="str">
        <f aca="false">IF(K498="","Open",IF(K498&lt;=L498,"Yes","No"))</f>
        <v>Yes</v>
      </c>
    </row>
    <row r="499" customFormat="false" ht="15" hidden="false" customHeight="false" outlineLevel="0" collapsed="false">
      <c r="A499" s="2" t="s">
        <v>533</v>
      </c>
      <c r="B499" s="7" t="n">
        <v>46097.4993055556</v>
      </c>
      <c r="C499" s="7" t="n">
        <v>46105.3944444444</v>
      </c>
      <c r="D499" s="2" t="s">
        <v>48</v>
      </c>
      <c r="E499" s="2" t="s">
        <v>32</v>
      </c>
      <c r="F499" s="2" t="s">
        <v>27</v>
      </c>
      <c r="G499" s="2" t="s">
        <v>25</v>
      </c>
      <c r="H499" s="2" t="n">
        <v>1</v>
      </c>
      <c r="I499" s="2" t="str">
        <f aca="false">IF(C499="","Open","Resolved")</f>
        <v>Resolved</v>
      </c>
      <c r="J499" s="2" t="str">
        <f aca="false">TEXT(B499,"yyyy-mm")</f>
        <v>2026-03</v>
      </c>
      <c r="K499" s="8" t="n">
        <f aca="false">IF(C499="","",ROUND((C499-B499)*24,2))</f>
        <v>189.48</v>
      </c>
      <c r="L499" s="2" t="n">
        <f aca="false">INDEX('SLA Policy'!$B$2:$B$5,MATCH(E499,'SLA Policy'!$A$2:$A$5,0))</f>
        <v>72</v>
      </c>
      <c r="M499" s="2" t="str">
        <f aca="false">IF(K499="","Open",IF(K499&lt;=L499,"Yes","No"))</f>
        <v>No</v>
      </c>
    </row>
    <row r="500" customFormat="false" ht="15" hidden="false" customHeight="false" outlineLevel="0" collapsed="false">
      <c r="A500" s="2" t="s">
        <v>534</v>
      </c>
      <c r="B500" s="7" t="n">
        <v>46097.5166666667</v>
      </c>
      <c r="C500" s="7" t="n">
        <v>46098.06875</v>
      </c>
      <c r="D500" s="2" t="s">
        <v>31</v>
      </c>
      <c r="E500" s="2" t="s">
        <v>35</v>
      </c>
      <c r="F500" s="2" t="s">
        <v>24</v>
      </c>
      <c r="G500" s="2" t="s">
        <v>33</v>
      </c>
      <c r="H500" s="2" t="n">
        <v>5</v>
      </c>
      <c r="I500" s="2" t="str">
        <f aca="false">IF(C500="","Open","Resolved")</f>
        <v>Resolved</v>
      </c>
      <c r="J500" s="2" t="str">
        <f aca="false">TEXT(B500,"yyyy-mm")</f>
        <v>2026-03</v>
      </c>
      <c r="K500" s="8" t="n">
        <f aca="false">IF(C500="","",ROUND((C500-B500)*24,2))</f>
        <v>13.25</v>
      </c>
      <c r="L500" s="2" t="n">
        <f aca="false">INDEX('SLA Policy'!$B$2:$B$5,MATCH(E500,'SLA Policy'!$A$2:$A$5,0))</f>
        <v>24</v>
      </c>
      <c r="M500" s="2" t="str">
        <f aca="false">IF(K500="","Open",IF(K500&lt;=L500,"Yes","No"))</f>
        <v>Yes</v>
      </c>
    </row>
    <row r="501" customFormat="false" ht="15" hidden="false" customHeight="false" outlineLevel="0" collapsed="false">
      <c r="A501" s="2" t="s">
        <v>535</v>
      </c>
      <c r="B501" s="7" t="n">
        <v>46097.5208333333</v>
      </c>
      <c r="C501" s="7" t="n">
        <v>46097.6208333333</v>
      </c>
      <c r="D501" s="2" t="s">
        <v>31</v>
      </c>
      <c r="E501" s="2" t="s">
        <v>40</v>
      </c>
      <c r="F501" s="2" t="s">
        <v>27</v>
      </c>
      <c r="G501" s="2" t="s">
        <v>33</v>
      </c>
      <c r="H501" s="2" t="n">
        <v>4</v>
      </c>
      <c r="I501" s="2" t="str">
        <f aca="false">IF(C501="","Open","Resolved")</f>
        <v>Resolved</v>
      </c>
      <c r="J501" s="2" t="str">
        <f aca="false">TEXT(B501,"yyyy-mm")</f>
        <v>2026-03</v>
      </c>
      <c r="K501" s="8" t="n">
        <f aca="false">IF(C501="","",ROUND((C501-B501)*24,2))</f>
        <v>2.4</v>
      </c>
      <c r="L501" s="2" t="n">
        <f aca="false">INDEX('SLA Policy'!$B$2:$B$5,MATCH(E501,'SLA Policy'!$A$2:$A$5,0))</f>
        <v>4</v>
      </c>
      <c r="M501" s="2" t="str">
        <f aca="false">IF(K501="","Open",IF(K501&lt;=L501,"Yes","No"))</f>
        <v>Yes</v>
      </c>
    </row>
    <row r="502" customFormat="false" ht="15" hidden="false" customHeight="false" outlineLevel="0" collapsed="false">
      <c r="A502" s="2" t="s">
        <v>536</v>
      </c>
      <c r="B502" s="7" t="n">
        <v>46097.5770833333</v>
      </c>
      <c r="C502" s="7" t="n">
        <v>46098.425</v>
      </c>
      <c r="D502" s="2" t="s">
        <v>31</v>
      </c>
      <c r="E502" s="2" t="s">
        <v>32</v>
      </c>
      <c r="F502" s="2" t="s">
        <v>38</v>
      </c>
      <c r="G502" s="2" t="s">
        <v>33</v>
      </c>
      <c r="H502" s="2" t="n">
        <v>5</v>
      </c>
      <c r="I502" s="2" t="str">
        <f aca="false">IF(C502="","Open","Resolved")</f>
        <v>Resolved</v>
      </c>
      <c r="J502" s="2" t="str">
        <f aca="false">TEXT(B502,"yyyy-mm")</f>
        <v>2026-03</v>
      </c>
      <c r="K502" s="8" t="n">
        <f aca="false">IF(C502="","",ROUND((C502-B502)*24,2))</f>
        <v>20.35</v>
      </c>
      <c r="L502" s="2" t="n">
        <f aca="false">INDEX('SLA Policy'!$B$2:$B$5,MATCH(E502,'SLA Policy'!$A$2:$A$5,0))</f>
        <v>72</v>
      </c>
      <c r="M502" s="2" t="str">
        <f aca="false">IF(K502="","Open",IF(K502&lt;=L502,"Yes","No"))</f>
        <v>Yes</v>
      </c>
    </row>
    <row r="503" customFormat="false" ht="15" hidden="false" customHeight="false" outlineLevel="0" collapsed="false">
      <c r="A503" s="2" t="s">
        <v>537</v>
      </c>
      <c r="B503" s="7" t="n">
        <v>46097.5902777778</v>
      </c>
      <c r="C503" s="7" t="n">
        <v>46098.7881944445</v>
      </c>
      <c r="D503" s="2" t="s">
        <v>22</v>
      </c>
      <c r="E503" s="2" t="s">
        <v>35</v>
      </c>
      <c r="F503" s="2" t="s">
        <v>28</v>
      </c>
      <c r="G503" s="2" t="s">
        <v>25</v>
      </c>
      <c r="H503" s="2" t="n">
        <v>4</v>
      </c>
      <c r="I503" s="2" t="str">
        <f aca="false">IF(C503="","Open","Resolved")</f>
        <v>Resolved</v>
      </c>
      <c r="J503" s="2" t="str">
        <f aca="false">TEXT(B503,"yyyy-mm")</f>
        <v>2026-03</v>
      </c>
      <c r="K503" s="8" t="n">
        <f aca="false">IF(C503="","",ROUND((C503-B503)*24,2))</f>
        <v>28.75</v>
      </c>
      <c r="L503" s="2" t="n">
        <f aca="false">INDEX('SLA Policy'!$B$2:$B$5,MATCH(E503,'SLA Policy'!$A$2:$A$5,0))</f>
        <v>24</v>
      </c>
      <c r="M503" s="2" t="str">
        <f aca="false">IF(K503="","Open",IF(K503&lt;=L503,"Yes","No"))</f>
        <v>No</v>
      </c>
    </row>
    <row r="504" customFormat="false" ht="15" hidden="false" customHeight="false" outlineLevel="0" collapsed="false">
      <c r="A504" s="2" t="s">
        <v>538</v>
      </c>
      <c r="B504" s="7" t="n">
        <v>46097.6083333333</v>
      </c>
      <c r="C504" s="7" t="n">
        <v>46100.2083333333</v>
      </c>
      <c r="D504" s="2" t="s">
        <v>22</v>
      </c>
      <c r="E504" s="2" t="s">
        <v>32</v>
      </c>
      <c r="F504" s="2" t="s">
        <v>24</v>
      </c>
      <c r="G504" s="2" t="s">
        <v>25</v>
      </c>
      <c r="H504" s="2" t="n">
        <v>3</v>
      </c>
      <c r="I504" s="2" t="str">
        <f aca="false">IF(C504="","Open","Resolved")</f>
        <v>Resolved</v>
      </c>
      <c r="J504" s="2" t="str">
        <f aca="false">TEXT(B504,"yyyy-mm")</f>
        <v>2026-03</v>
      </c>
      <c r="K504" s="8" t="n">
        <f aca="false">IF(C504="","",ROUND((C504-B504)*24,2))</f>
        <v>62.4</v>
      </c>
      <c r="L504" s="2" t="n">
        <f aca="false">INDEX('SLA Policy'!$B$2:$B$5,MATCH(E504,'SLA Policy'!$A$2:$A$5,0))</f>
        <v>72</v>
      </c>
      <c r="M504" s="2" t="str">
        <f aca="false">IF(K504="","Open",IF(K504&lt;=L504,"Yes","No"))</f>
        <v>Yes</v>
      </c>
    </row>
    <row r="505" customFormat="false" ht="15" hidden="false" customHeight="false" outlineLevel="0" collapsed="false">
      <c r="A505" s="2" t="s">
        <v>539</v>
      </c>
      <c r="B505" s="7" t="n">
        <v>46097.6333333333</v>
      </c>
      <c r="C505" s="7" t="n">
        <v>46101.0798611111</v>
      </c>
      <c r="D505" s="2" t="s">
        <v>48</v>
      </c>
      <c r="E505" s="2" t="s">
        <v>32</v>
      </c>
      <c r="F505" s="2" t="s">
        <v>38</v>
      </c>
      <c r="G505" s="2" t="s">
        <v>25</v>
      </c>
      <c r="H505" s="2" t="n">
        <v>1</v>
      </c>
      <c r="I505" s="2" t="str">
        <f aca="false">IF(C505="","Open","Resolved")</f>
        <v>Resolved</v>
      </c>
      <c r="J505" s="2" t="str">
        <f aca="false">TEXT(B505,"yyyy-mm")</f>
        <v>2026-03</v>
      </c>
      <c r="K505" s="8" t="n">
        <f aca="false">IF(C505="","",ROUND((C505-B505)*24,2))</f>
        <v>82.72</v>
      </c>
      <c r="L505" s="2" t="n">
        <f aca="false">INDEX('SLA Policy'!$B$2:$B$5,MATCH(E505,'SLA Policy'!$A$2:$A$5,0))</f>
        <v>72</v>
      </c>
      <c r="M505" s="2" t="str">
        <f aca="false">IF(K505="","Open",IF(K505&lt;=L505,"Yes","No"))</f>
        <v>No</v>
      </c>
    </row>
    <row r="506" customFormat="false" ht="15" hidden="false" customHeight="false" outlineLevel="0" collapsed="false">
      <c r="A506" s="2" t="s">
        <v>540</v>
      </c>
      <c r="B506" s="7" t="n">
        <v>46097.6583333333</v>
      </c>
      <c r="C506" s="7" t="n">
        <v>46099.6916666667</v>
      </c>
      <c r="D506" s="2" t="s">
        <v>22</v>
      </c>
      <c r="E506" s="2" t="s">
        <v>32</v>
      </c>
      <c r="F506" s="2" t="s">
        <v>27</v>
      </c>
      <c r="G506" s="2" t="s">
        <v>25</v>
      </c>
      <c r="H506" s="2" t="n">
        <v>3</v>
      </c>
      <c r="I506" s="2" t="str">
        <f aca="false">IF(C506="","Open","Resolved")</f>
        <v>Resolved</v>
      </c>
      <c r="J506" s="2" t="str">
        <f aca="false">TEXT(B506,"yyyy-mm")</f>
        <v>2026-03</v>
      </c>
      <c r="K506" s="8" t="n">
        <f aca="false">IF(C506="","",ROUND((C506-B506)*24,2))</f>
        <v>48.8</v>
      </c>
      <c r="L506" s="2" t="n">
        <f aca="false">INDEX('SLA Policy'!$B$2:$B$5,MATCH(E506,'SLA Policy'!$A$2:$A$5,0))</f>
        <v>72</v>
      </c>
      <c r="M506" s="2" t="str">
        <f aca="false">IF(K506="","Open",IF(K506&lt;=L506,"Yes","No"))</f>
        <v>Yes</v>
      </c>
    </row>
    <row r="507" customFormat="false" ht="15" hidden="false" customHeight="false" outlineLevel="0" collapsed="false">
      <c r="A507" s="2" t="s">
        <v>541</v>
      </c>
      <c r="B507" s="7" t="n">
        <v>46097.68125</v>
      </c>
      <c r="C507" s="7" t="n">
        <v>46098.9326388889</v>
      </c>
      <c r="D507" s="2" t="s">
        <v>42</v>
      </c>
      <c r="E507" s="2" t="s">
        <v>32</v>
      </c>
      <c r="F507" s="2" t="s">
        <v>28</v>
      </c>
      <c r="G507" s="2" t="s">
        <v>29</v>
      </c>
      <c r="H507" s="2" t="n">
        <v>4</v>
      </c>
      <c r="I507" s="2" t="str">
        <f aca="false">IF(C507="","Open","Resolved")</f>
        <v>Resolved</v>
      </c>
      <c r="J507" s="2" t="str">
        <f aca="false">TEXT(B507,"yyyy-mm")</f>
        <v>2026-03</v>
      </c>
      <c r="K507" s="8" t="n">
        <f aca="false">IF(C507="","",ROUND((C507-B507)*24,2))</f>
        <v>30.03</v>
      </c>
      <c r="L507" s="2" t="n">
        <f aca="false">INDEX('SLA Policy'!$B$2:$B$5,MATCH(E507,'SLA Policy'!$A$2:$A$5,0))</f>
        <v>72</v>
      </c>
      <c r="M507" s="2" t="str">
        <f aca="false">IF(K507="","Open",IF(K507&lt;=L507,"Yes","No"))</f>
        <v>Yes</v>
      </c>
    </row>
    <row r="508" customFormat="false" ht="15" hidden="false" customHeight="false" outlineLevel="0" collapsed="false">
      <c r="A508" s="2" t="s">
        <v>542</v>
      </c>
      <c r="B508" s="7" t="n">
        <v>46097.7222222222</v>
      </c>
      <c r="C508" s="7" t="n">
        <v>46097.7993055556</v>
      </c>
      <c r="D508" s="2" t="s">
        <v>31</v>
      </c>
      <c r="E508" s="2" t="s">
        <v>40</v>
      </c>
      <c r="F508" s="2" t="s">
        <v>28</v>
      </c>
      <c r="G508" s="2" t="s">
        <v>33</v>
      </c>
      <c r="H508" s="2" t="n">
        <v>5</v>
      </c>
      <c r="I508" s="2" t="str">
        <f aca="false">IF(C508="","Open","Resolved")</f>
        <v>Resolved</v>
      </c>
      <c r="J508" s="2" t="str">
        <f aca="false">TEXT(B508,"yyyy-mm")</f>
        <v>2026-03</v>
      </c>
      <c r="K508" s="8" t="n">
        <f aca="false">IF(C508="","",ROUND((C508-B508)*24,2))</f>
        <v>1.85</v>
      </c>
      <c r="L508" s="2" t="n">
        <f aca="false">INDEX('SLA Policy'!$B$2:$B$5,MATCH(E508,'SLA Policy'!$A$2:$A$5,0))</f>
        <v>4</v>
      </c>
      <c r="M508" s="2" t="str">
        <f aca="false">IF(K508="","Open",IF(K508&lt;=L508,"Yes","No"))</f>
        <v>Yes</v>
      </c>
    </row>
    <row r="509" customFormat="false" ht="15" hidden="false" customHeight="false" outlineLevel="0" collapsed="false">
      <c r="A509" s="2" t="s">
        <v>543</v>
      </c>
      <c r="B509" s="7" t="n">
        <v>46097.78125</v>
      </c>
      <c r="C509" s="7" t="n">
        <v>46099.9</v>
      </c>
      <c r="D509" s="2" t="s">
        <v>22</v>
      </c>
      <c r="E509" s="2" t="s">
        <v>32</v>
      </c>
      <c r="F509" s="2" t="s">
        <v>27</v>
      </c>
      <c r="G509" s="2" t="s">
        <v>25</v>
      </c>
      <c r="H509" s="2" t="n">
        <v>2</v>
      </c>
      <c r="I509" s="2" t="str">
        <f aca="false">IF(C509="","Open","Resolved")</f>
        <v>Resolved</v>
      </c>
      <c r="J509" s="2" t="str">
        <f aca="false">TEXT(B509,"yyyy-mm")</f>
        <v>2026-03</v>
      </c>
      <c r="K509" s="8" t="n">
        <f aca="false">IF(C509="","",ROUND((C509-B509)*24,2))</f>
        <v>50.85</v>
      </c>
      <c r="L509" s="2" t="n">
        <f aca="false">INDEX('SLA Policy'!$B$2:$B$5,MATCH(E509,'SLA Policy'!$A$2:$A$5,0))</f>
        <v>72</v>
      </c>
      <c r="M509" s="2" t="str">
        <f aca="false">IF(K509="","Open",IF(K509&lt;=L509,"Yes","No"))</f>
        <v>Yes</v>
      </c>
    </row>
    <row r="510" customFormat="false" ht="15" hidden="false" customHeight="false" outlineLevel="0" collapsed="false">
      <c r="A510" s="2" t="s">
        <v>544</v>
      </c>
      <c r="B510" s="7" t="n">
        <v>46098.3479166667</v>
      </c>
      <c r="C510" s="7" t="n">
        <v>46098.9493055556</v>
      </c>
      <c r="D510" s="2" t="s">
        <v>31</v>
      </c>
      <c r="E510" s="2" t="s">
        <v>35</v>
      </c>
      <c r="F510" s="2" t="s">
        <v>27</v>
      </c>
      <c r="G510" s="2" t="s">
        <v>33</v>
      </c>
      <c r="H510" s="2" t="n">
        <v>5</v>
      </c>
      <c r="I510" s="2" t="str">
        <f aca="false">IF(C510="","Open","Resolved")</f>
        <v>Resolved</v>
      </c>
      <c r="J510" s="2" t="str">
        <f aca="false">TEXT(B510,"yyyy-mm")</f>
        <v>2026-03</v>
      </c>
      <c r="K510" s="8" t="n">
        <f aca="false">IF(C510="","",ROUND((C510-B510)*24,2))</f>
        <v>14.43</v>
      </c>
      <c r="L510" s="2" t="n">
        <f aca="false">INDEX('SLA Policy'!$B$2:$B$5,MATCH(E510,'SLA Policy'!$A$2:$A$5,0))</f>
        <v>24</v>
      </c>
      <c r="M510" s="2" t="str">
        <f aca="false">IF(K510="","Open",IF(K510&lt;=L510,"Yes","No"))</f>
        <v>Yes</v>
      </c>
    </row>
    <row r="511" customFormat="false" ht="15" hidden="false" customHeight="false" outlineLevel="0" collapsed="false">
      <c r="A511" s="2" t="s">
        <v>545</v>
      </c>
      <c r="B511" s="7" t="n">
        <v>46098.4256944444</v>
      </c>
      <c r="C511" s="7" t="n">
        <v>46099.2465277778</v>
      </c>
      <c r="D511" s="2" t="s">
        <v>31</v>
      </c>
      <c r="E511" s="2" t="s">
        <v>32</v>
      </c>
      <c r="F511" s="2" t="s">
        <v>38</v>
      </c>
      <c r="G511" s="2" t="s">
        <v>33</v>
      </c>
      <c r="H511" s="2" t="n">
        <v>3</v>
      </c>
      <c r="I511" s="2" t="str">
        <f aca="false">IF(C511="","Open","Resolved")</f>
        <v>Resolved</v>
      </c>
      <c r="J511" s="2" t="str">
        <f aca="false">TEXT(B511,"yyyy-mm")</f>
        <v>2026-03</v>
      </c>
      <c r="K511" s="8" t="n">
        <f aca="false">IF(C511="","",ROUND((C511-B511)*24,2))</f>
        <v>19.7</v>
      </c>
      <c r="L511" s="2" t="n">
        <f aca="false">INDEX('SLA Policy'!$B$2:$B$5,MATCH(E511,'SLA Policy'!$A$2:$A$5,0))</f>
        <v>72</v>
      </c>
      <c r="M511" s="2" t="str">
        <f aca="false">IF(K511="","Open",IF(K511&lt;=L511,"Yes","No"))</f>
        <v>Yes</v>
      </c>
    </row>
    <row r="512" customFormat="false" ht="15" hidden="false" customHeight="false" outlineLevel="0" collapsed="false">
      <c r="A512" s="2" t="s">
        <v>546</v>
      </c>
      <c r="B512" s="7" t="n">
        <v>46098.4284722222</v>
      </c>
      <c r="C512" s="7" t="n">
        <v>46099.15</v>
      </c>
      <c r="D512" s="2" t="s">
        <v>31</v>
      </c>
      <c r="E512" s="2" t="s">
        <v>35</v>
      </c>
      <c r="F512" s="2" t="s">
        <v>27</v>
      </c>
      <c r="G512" s="2" t="s">
        <v>33</v>
      </c>
      <c r="H512" s="2" t="n">
        <v>5</v>
      </c>
      <c r="I512" s="2" t="str">
        <f aca="false">IF(C512="","Open","Resolved")</f>
        <v>Resolved</v>
      </c>
      <c r="J512" s="2" t="str">
        <f aca="false">TEXT(B512,"yyyy-mm")</f>
        <v>2026-03</v>
      </c>
      <c r="K512" s="8" t="n">
        <f aca="false">IF(C512="","",ROUND((C512-B512)*24,2))</f>
        <v>17.32</v>
      </c>
      <c r="L512" s="2" t="n">
        <f aca="false">INDEX('SLA Policy'!$B$2:$B$5,MATCH(E512,'SLA Policy'!$A$2:$A$5,0))</f>
        <v>24</v>
      </c>
      <c r="M512" s="2" t="str">
        <f aca="false">IF(K512="","Open",IF(K512&lt;=L512,"Yes","No"))</f>
        <v>Yes</v>
      </c>
    </row>
    <row r="513" customFormat="false" ht="15" hidden="false" customHeight="false" outlineLevel="0" collapsed="false">
      <c r="A513" s="2" t="s">
        <v>547</v>
      </c>
      <c r="B513" s="7" t="n">
        <v>46098.5743055556</v>
      </c>
      <c r="C513" s="7" t="n">
        <v>46099.03125</v>
      </c>
      <c r="D513" s="2" t="s">
        <v>31</v>
      </c>
      <c r="E513" s="2" t="s">
        <v>23</v>
      </c>
      <c r="F513" s="2" t="s">
        <v>24</v>
      </c>
      <c r="G513" s="2" t="s">
        <v>33</v>
      </c>
      <c r="H513" s="2" t="n">
        <v>5</v>
      </c>
      <c r="I513" s="2" t="str">
        <f aca="false">IF(C513="","Open","Resolved")</f>
        <v>Resolved</v>
      </c>
      <c r="J513" s="2" t="str">
        <f aca="false">TEXT(B513,"yyyy-mm")</f>
        <v>2026-03</v>
      </c>
      <c r="K513" s="8" t="n">
        <f aca="false">IF(C513="","",ROUND((C513-B513)*24,2))</f>
        <v>10.97</v>
      </c>
      <c r="L513" s="2" t="n">
        <f aca="false">INDEX('SLA Policy'!$B$2:$B$5,MATCH(E513,'SLA Policy'!$A$2:$A$5,0))</f>
        <v>8</v>
      </c>
      <c r="M513" s="2" t="str">
        <f aca="false">IF(K513="","Open",IF(K513&lt;=L513,"Yes","No"))</f>
        <v>No</v>
      </c>
    </row>
    <row r="514" customFormat="false" ht="15" hidden="false" customHeight="false" outlineLevel="0" collapsed="false">
      <c r="A514" s="2" t="s">
        <v>548</v>
      </c>
      <c r="B514" s="7" t="n">
        <v>46098.6236111111</v>
      </c>
      <c r="C514" s="7" t="n">
        <v>46098.9319444444</v>
      </c>
      <c r="D514" s="2" t="s">
        <v>31</v>
      </c>
      <c r="E514" s="2" t="s">
        <v>35</v>
      </c>
      <c r="F514" s="2" t="s">
        <v>24</v>
      </c>
      <c r="G514" s="2" t="s">
        <v>33</v>
      </c>
      <c r="H514" s="2" t="n">
        <v>4</v>
      </c>
      <c r="I514" s="2" t="str">
        <f aca="false">IF(C514="","Open","Resolved")</f>
        <v>Resolved</v>
      </c>
      <c r="J514" s="2" t="str">
        <f aca="false">TEXT(B514,"yyyy-mm")</f>
        <v>2026-03</v>
      </c>
      <c r="K514" s="8" t="n">
        <f aca="false">IF(C514="","",ROUND((C514-B514)*24,2))</f>
        <v>7.4</v>
      </c>
      <c r="L514" s="2" t="n">
        <f aca="false">INDEX('SLA Policy'!$B$2:$B$5,MATCH(E514,'SLA Policy'!$A$2:$A$5,0))</f>
        <v>24</v>
      </c>
      <c r="M514" s="2" t="str">
        <f aca="false">IF(K514="","Open",IF(K514&lt;=L514,"Yes","No"))</f>
        <v>Yes</v>
      </c>
    </row>
    <row r="515" customFormat="false" ht="15" hidden="false" customHeight="false" outlineLevel="0" collapsed="false">
      <c r="A515" s="2" t="s">
        <v>549</v>
      </c>
      <c r="B515" s="7" t="n">
        <v>46099.3611111111</v>
      </c>
      <c r="C515" s="7" t="n">
        <v>46104.5402777778</v>
      </c>
      <c r="D515" s="2" t="s">
        <v>48</v>
      </c>
      <c r="E515" s="2" t="s">
        <v>32</v>
      </c>
      <c r="F515" s="2" t="s">
        <v>28</v>
      </c>
      <c r="G515" s="2" t="s">
        <v>25</v>
      </c>
      <c r="H515" s="2" t="n">
        <v>1</v>
      </c>
      <c r="I515" s="2" t="str">
        <f aca="false">IF(C515="","Open","Resolved")</f>
        <v>Resolved</v>
      </c>
      <c r="J515" s="2" t="str">
        <f aca="false">TEXT(B515,"yyyy-mm")</f>
        <v>2026-03</v>
      </c>
      <c r="K515" s="8" t="n">
        <f aca="false">IF(C515="","",ROUND((C515-B515)*24,2))</f>
        <v>124.3</v>
      </c>
      <c r="L515" s="2" t="n">
        <f aca="false">INDEX('SLA Policy'!$B$2:$B$5,MATCH(E515,'SLA Policy'!$A$2:$A$5,0))</f>
        <v>72</v>
      </c>
      <c r="M515" s="2" t="str">
        <f aca="false">IF(K515="","Open",IF(K515&lt;=L515,"Yes","No"))</f>
        <v>No</v>
      </c>
    </row>
    <row r="516" customFormat="false" ht="15" hidden="false" customHeight="false" outlineLevel="0" collapsed="false">
      <c r="A516" s="2" t="s">
        <v>550</v>
      </c>
      <c r="B516" s="7" t="n">
        <v>46099.3840277778</v>
      </c>
      <c r="C516" s="7" t="n">
        <v>46100.6875</v>
      </c>
      <c r="D516" s="2" t="s">
        <v>31</v>
      </c>
      <c r="E516" s="2" t="s">
        <v>35</v>
      </c>
      <c r="F516" s="2" t="s">
        <v>27</v>
      </c>
      <c r="G516" s="2" t="s">
        <v>33</v>
      </c>
      <c r="H516" s="2" t="n">
        <v>4</v>
      </c>
      <c r="I516" s="2" t="str">
        <f aca="false">IF(C516="","Open","Resolved")</f>
        <v>Resolved</v>
      </c>
      <c r="J516" s="2" t="str">
        <f aca="false">TEXT(B516,"yyyy-mm")</f>
        <v>2026-03</v>
      </c>
      <c r="K516" s="8" t="n">
        <f aca="false">IF(C516="","",ROUND((C516-B516)*24,2))</f>
        <v>31.28</v>
      </c>
      <c r="L516" s="2" t="n">
        <f aca="false">INDEX('SLA Policy'!$B$2:$B$5,MATCH(E516,'SLA Policy'!$A$2:$A$5,0))</f>
        <v>24</v>
      </c>
      <c r="M516" s="2" t="str">
        <f aca="false">IF(K516="","Open",IF(K516&lt;=L516,"Yes","No"))</f>
        <v>No</v>
      </c>
    </row>
    <row r="517" customFormat="false" ht="15" hidden="false" customHeight="false" outlineLevel="0" collapsed="false">
      <c r="A517" s="2" t="s">
        <v>551</v>
      </c>
      <c r="B517" s="7" t="n">
        <v>46099.39375</v>
      </c>
      <c r="C517" s="7" t="n">
        <v>46099.7333333333</v>
      </c>
      <c r="D517" s="2" t="s">
        <v>31</v>
      </c>
      <c r="E517" s="2" t="s">
        <v>35</v>
      </c>
      <c r="F517" s="2" t="s">
        <v>27</v>
      </c>
      <c r="G517" s="2" t="s">
        <v>33</v>
      </c>
      <c r="H517" s="2" t="n">
        <v>3</v>
      </c>
      <c r="I517" s="2" t="str">
        <f aca="false">IF(C517="","Open","Resolved")</f>
        <v>Resolved</v>
      </c>
      <c r="J517" s="2" t="str">
        <f aca="false">TEXT(B517,"yyyy-mm")</f>
        <v>2026-03</v>
      </c>
      <c r="K517" s="8" t="n">
        <f aca="false">IF(C517="","",ROUND((C517-B517)*24,2))</f>
        <v>8.15</v>
      </c>
      <c r="L517" s="2" t="n">
        <f aca="false">INDEX('SLA Policy'!$B$2:$B$5,MATCH(E517,'SLA Policy'!$A$2:$A$5,0))</f>
        <v>24</v>
      </c>
      <c r="M517" s="2" t="str">
        <f aca="false">IF(K517="","Open",IF(K517&lt;=L517,"Yes","No"))</f>
        <v>Yes</v>
      </c>
    </row>
    <row r="518" customFormat="false" ht="15" hidden="false" customHeight="false" outlineLevel="0" collapsed="false">
      <c r="A518" s="2" t="s">
        <v>552</v>
      </c>
      <c r="B518" s="7" t="n">
        <v>46099.4381944445</v>
      </c>
      <c r="C518" s="7" t="n">
        <v>46100.0902777778</v>
      </c>
      <c r="D518" s="2" t="s">
        <v>42</v>
      </c>
      <c r="E518" s="2" t="s">
        <v>35</v>
      </c>
      <c r="F518" s="2" t="s">
        <v>24</v>
      </c>
      <c r="G518" s="2" t="s">
        <v>29</v>
      </c>
      <c r="H518" s="2" t="n">
        <v>5</v>
      </c>
      <c r="I518" s="2" t="str">
        <f aca="false">IF(C518="","Open","Resolved")</f>
        <v>Resolved</v>
      </c>
      <c r="J518" s="2" t="str">
        <f aca="false">TEXT(B518,"yyyy-mm")</f>
        <v>2026-03</v>
      </c>
      <c r="K518" s="8" t="n">
        <f aca="false">IF(C518="","",ROUND((C518-B518)*24,2))</f>
        <v>15.65</v>
      </c>
      <c r="L518" s="2" t="n">
        <f aca="false">INDEX('SLA Policy'!$B$2:$B$5,MATCH(E518,'SLA Policy'!$A$2:$A$5,0))</f>
        <v>24</v>
      </c>
      <c r="M518" s="2" t="str">
        <f aca="false">IF(K518="","Open",IF(K518&lt;=L518,"Yes","No"))</f>
        <v>Yes</v>
      </c>
    </row>
    <row r="519" customFormat="false" ht="15" hidden="false" customHeight="false" outlineLevel="0" collapsed="false">
      <c r="A519" s="2" t="s">
        <v>553</v>
      </c>
      <c r="B519" s="7" t="n">
        <v>46099.4881944444</v>
      </c>
      <c r="C519" s="7" t="n">
        <v>46101.0826388889</v>
      </c>
      <c r="D519" s="2" t="s">
        <v>31</v>
      </c>
      <c r="E519" s="2" t="s">
        <v>32</v>
      </c>
      <c r="F519" s="2" t="s">
        <v>38</v>
      </c>
      <c r="G519" s="2" t="s">
        <v>33</v>
      </c>
      <c r="H519" s="2" t="n">
        <v>3</v>
      </c>
      <c r="I519" s="2" t="str">
        <f aca="false">IF(C519="","Open","Resolved")</f>
        <v>Resolved</v>
      </c>
      <c r="J519" s="2" t="str">
        <f aca="false">TEXT(B519,"yyyy-mm")</f>
        <v>2026-03</v>
      </c>
      <c r="K519" s="8" t="n">
        <f aca="false">IF(C519="","",ROUND((C519-B519)*24,2))</f>
        <v>38.27</v>
      </c>
      <c r="L519" s="2" t="n">
        <f aca="false">INDEX('SLA Policy'!$B$2:$B$5,MATCH(E519,'SLA Policy'!$A$2:$A$5,0))</f>
        <v>72</v>
      </c>
      <c r="M519" s="2" t="str">
        <f aca="false">IF(K519="","Open",IF(K519&lt;=L519,"Yes","No"))</f>
        <v>Yes</v>
      </c>
    </row>
    <row r="520" customFormat="false" ht="15" hidden="false" customHeight="false" outlineLevel="0" collapsed="false">
      <c r="A520" s="2" t="s">
        <v>554</v>
      </c>
      <c r="B520" s="7" t="n">
        <v>46099.5381944445</v>
      </c>
      <c r="C520" s="7" t="n">
        <v>46100.3270833333</v>
      </c>
      <c r="D520" s="2" t="s">
        <v>31</v>
      </c>
      <c r="E520" s="2" t="s">
        <v>35</v>
      </c>
      <c r="F520" s="2" t="s">
        <v>28</v>
      </c>
      <c r="G520" s="2" t="s">
        <v>33</v>
      </c>
      <c r="H520" s="2" t="n">
        <v>4</v>
      </c>
      <c r="I520" s="2" t="str">
        <f aca="false">IF(C520="","Open","Resolved")</f>
        <v>Resolved</v>
      </c>
      <c r="J520" s="2" t="str">
        <f aca="false">TEXT(B520,"yyyy-mm")</f>
        <v>2026-03</v>
      </c>
      <c r="K520" s="8" t="n">
        <f aca="false">IF(C520="","",ROUND((C520-B520)*24,2))</f>
        <v>18.93</v>
      </c>
      <c r="L520" s="2" t="n">
        <f aca="false">INDEX('SLA Policy'!$B$2:$B$5,MATCH(E520,'SLA Policy'!$A$2:$A$5,0))</f>
        <v>24</v>
      </c>
      <c r="M520" s="2" t="str">
        <f aca="false">IF(K520="","Open",IF(K520&lt;=L520,"Yes","No"))</f>
        <v>Yes</v>
      </c>
    </row>
    <row r="521" customFormat="false" ht="15" hidden="false" customHeight="false" outlineLevel="0" collapsed="false">
      <c r="A521" s="2" t="s">
        <v>555</v>
      </c>
      <c r="B521" s="7" t="n">
        <v>46099.5576388889</v>
      </c>
      <c r="C521" s="7" t="n">
        <v>46099.675</v>
      </c>
      <c r="D521" s="2" t="s">
        <v>42</v>
      </c>
      <c r="E521" s="2" t="s">
        <v>23</v>
      </c>
      <c r="F521" s="2" t="s">
        <v>27</v>
      </c>
      <c r="G521" s="2" t="s">
        <v>29</v>
      </c>
      <c r="H521" s="2" t="n">
        <v>5</v>
      </c>
      <c r="I521" s="2" t="str">
        <f aca="false">IF(C521="","Open","Resolved")</f>
        <v>Resolved</v>
      </c>
      <c r="J521" s="2" t="str">
        <f aca="false">TEXT(B521,"yyyy-mm")</f>
        <v>2026-03</v>
      </c>
      <c r="K521" s="8" t="n">
        <f aca="false">IF(C521="","",ROUND((C521-B521)*24,2))</f>
        <v>2.82</v>
      </c>
      <c r="L521" s="2" t="n">
        <f aca="false">INDEX('SLA Policy'!$B$2:$B$5,MATCH(E521,'SLA Policy'!$A$2:$A$5,0))</f>
        <v>8</v>
      </c>
      <c r="M521" s="2" t="str">
        <f aca="false">IF(K521="","Open",IF(K521&lt;=L521,"Yes","No"))</f>
        <v>Yes</v>
      </c>
    </row>
    <row r="522" customFormat="false" ht="15" hidden="false" customHeight="false" outlineLevel="0" collapsed="false">
      <c r="A522" s="2" t="s">
        <v>556</v>
      </c>
      <c r="B522" s="7" t="n">
        <v>46099.5666666667</v>
      </c>
      <c r="C522" s="7" t="n">
        <v>46099.8944444444</v>
      </c>
      <c r="D522" s="2" t="s">
        <v>31</v>
      </c>
      <c r="E522" s="2" t="s">
        <v>23</v>
      </c>
      <c r="F522" s="2" t="s">
        <v>27</v>
      </c>
      <c r="G522" s="2" t="s">
        <v>33</v>
      </c>
      <c r="H522" s="2" t="n">
        <v>4</v>
      </c>
      <c r="I522" s="2" t="str">
        <f aca="false">IF(C522="","Open","Resolved")</f>
        <v>Resolved</v>
      </c>
      <c r="J522" s="2" t="str">
        <f aca="false">TEXT(B522,"yyyy-mm")</f>
        <v>2026-03</v>
      </c>
      <c r="K522" s="8" t="n">
        <f aca="false">IF(C522="","",ROUND((C522-B522)*24,2))</f>
        <v>7.87</v>
      </c>
      <c r="L522" s="2" t="n">
        <f aca="false">INDEX('SLA Policy'!$B$2:$B$5,MATCH(E522,'SLA Policy'!$A$2:$A$5,0))</f>
        <v>8</v>
      </c>
      <c r="M522" s="2" t="str">
        <f aca="false">IF(K522="","Open",IF(K522&lt;=L522,"Yes","No"))</f>
        <v>Yes</v>
      </c>
    </row>
    <row r="523" customFormat="false" ht="15" hidden="false" customHeight="false" outlineLevel="0" collapsed="false">
      <c r="A523" s="2" t="s">
        <v>557</v>
      </c>
      <c r="B523" s="7" t="n">
        <v>46099.6055555556</v>
      </c>
      <c r="C523" s="7" t="n">
        <v>46100.1888888889</v>
      </c>
      <c r="D523" s="2" t="s">
        <v>27</v>
      </c>
      <c r="E523" s="2" t="s">
        <v>32</v>
      </c>
      <c r="F523" s="2" t="s">
        <v>38</v>
      </c>
      <c r="G523" s="2" t="s">
        <v>29</v>
      </c>
      <c r="H523" s="2" t="n">
        <v>5</v>
      </c>
      <c r="I523" s="2" t="str">
        <f aca="false">IF(C523="","Open","Resolved")</f>
        <v>Resolved</v>
      </c>
      <c r="J523" s="2" t="str">
        <f aca="false">TEXT(B523,"yyyy-mm")</f>
        <v>2026-03</v>
      </c>
      <c r="K523" s="8" t="n">
        <f aca="false">IF(C523="","",ROUND((C523-B523)*24,2))</f>
        <v>14</v>
      </c>
      <c r="L523" s="2" t="n">
        <f aca="false">INDEX('SLA Policy'!$B$2:$B$5,MATCH(E523,'SLA Policy'!$A$2:$A$5,0))</f>
        <v>72</v>
      </c>
      <c r="M523" s="2" t="str">
        <f aca="false">IF(K523="","Open",IF(K523&lt;=L523,"Yes","No"))</f>
        <v>Yes</v>
      </c>
    </row>
    <row r="524" customFormat="false" ht="15" hidden="false" customHeight="false" outlineLevel="0" collapsed="false">
      <c r="A524" s="2" t="s">
        <v>558</v>
      </c>
      <c r="B524" s="7" t="n">
        <v>46099.6423611111</v>
      </c>
      <c r="C524" s="7" t="n">
        <v>46101.8743055556</v>
      </c>
      <c r="D524" s="2" t="s">
        <v>31</v>
      </c>
      <c r="E524" s="2" t="s">
        <v>32</v>
      </c>
      <c r="F524" s="2" t="s">
        <v>27</v>
      </c>
      <c r="G524" s="2" t="s">
        <v>33</v>
      </c>
      <c r="H524" s="2" t="n">
        <v>3</v>
      </c>
      <c r="I524" s="2" t="str">
        <f aca="false">IF(C524="","Open","Resolved")</f>
        <v>Resolved</v>
      </c>
      <c r="J524" s="2" t="str">
        <f aca="false">TEXT(B524,"yyyy-mm")</f>
        <v>2026-03</v>
      </c>
      <c r="K524" s="8" t="n">
        <f aca="false">IF(C524="","",ROUND((C524-B524)*24,2))</f>
        <v>53.57</v>
      </c>
      <c r="L524" s="2" t="n">
        <f aca="false">INDEX('SLA Policy'!$B$2:$B$5,MATCH(E524,'SLA Policy'!$A$2:$A$5,0))</f>
        <v>72</v>
      </c>
      <c r="M524" s="2" t="str">
        <f aca="false">IF(K524="","Open",IF(K524&lt;=L524,"Yes","No"))</f>
        <v>Yes</v>
      </c>
    </row>
    <row r="525" customFormat="false" ht="15" hidden="false" customHeight="false" outlineLevel="0" collapsed="false">
      <c r="A525" s="2" t="s">
        <v>559</v>
      </c>
      <c r="B525" s="7" t="n">
        <v>46099.6680555556</v>
      </c>
      <c r="C525" s="7" t="n">
        <v>46101.0826388889</v>
      </c>
      <c r="D525" s="2" t="s">
        <v>27</v>
      </c>
      <c r="E525" s="2" t="s">
        <v>35</v>
      </c>
      <c r="F525" s="2" t="s">
        <v>24</v>
      </c>
      <c r="G525" s="2" t="s">
        <v>29</v>
      </c>
      <c r="H525" s="2" t="n">
        <v>3</v>
      </c>
      <c r="I525" s="2" t="str">
        <f aca="false">IF(C525="","Open","Resolved")</f>
        <v>Resolved</v>
      </c>
      <c r="J525" s="2" t="str">
        <f aca="false">TEXT(B525,"yyyy-mm")</f>
        <v>2026-03</v>
      </c>
      <c r="K525" s="8" t="n">
        <f aca="false">IF(C525="","",ROUND((C525-B525)*24,2))</f>
        <v>33.95</v>
      </c>
      <c r="L525" s="2" t="n">
        <f aca="false">INDEX('SLA Policy'!$B$2:$B$5,MATCH(E525,'SLA Policy'!$A$2:$A$5,0))</f>
        <v>24</v>
      </c>
      <c r="M525" s="2" t="str">
        <f aca="false">IF(K525="","Open",IF(K525&lt;=L525,"Yes","No"))</f>
        <v>No</v>
      </c>
    </row>
    <row r="526" customFormat="false" ht="15" hidden="false" customHeight="false" outlineLevel="0" collapsed="false">
      <c r="A526" s="2" t="s">
        <v>560</v>
      </c>
      <c r="B526" s="7" t="n">
        <v>46099.6916666667</v>
      </c>
      <c r="C526" s="7" t="n">
        <v>46101.1777777778</v>
      </c>
      <c r="D526" s="2" t="s">
        <v>31</v>
      </c>
      <c r="E526" s="2" t="s">
        <v>32</v>
      </c>
      <c r="F526" s="2" t="s">
        <v>27</v>
      </c>
      <c r="G526" s="2" t="s">
        <v>33</v>
      </c>
      <c r="H526" s="2" t="n">
        <v>3</v>
      </c>
      <c r="I526" s="2" t="str">
        <f aca="false">IF(C526="","Open","Resolved")</f>
        <v>Resolved</v>
      </c>
      <c r="J526" s="2" t="str">
        <f aca="false">TEXT(B526,"yyyy-mm")</f>
        <v>2026-03</v>
      </c>
      <c r="K526" s="8" t="n">
        <f aca="false">IF(C526="","",ROUND((C526-B526)*24,2))</f>
        <v>35.67</v>
      </c>
      <c r="L526" s="2" t="n">
        <f aca="false">INDEX('SLA Policy'!$B$2:$B$5,MATCH(E526,'SLA Policy'!$A$2:$A$5,0))</f>
        <v>72</v>
      </c>
      <c r="M526" s="2" t="str">
        <f aca="false">IF(K526="","Open",IF(K526&lt;=L526,"Yes","No"))</f>
        <v>Yes</v>
      </c>
    </row>
    <row r="527" customFormat="false" ht="15" hidden="false" customHeight="false" outlineLevel="0" collapsed="false">
      <c r="A527" s="2" t="s">
        <v>561</v>
      </c>
      <c r="B527" s="7" t="n">
        <v>46099.7145833333</v>
      </c>
      <c r="C527" s="7" t="n">
        <v>46100.525</v>
      </c>
      <c r="D527" s="2" t="s">
        <v>42</v>
      </c>
      <c r="E527" s="2" t="s">
        <v>35</v>
      </c>
      <c r="F527" s="2" t="s">
        <v>38</v>
      </c>
      <c r="G527" s="2" t="s">
        <v>29</v>
      </c>
      <c r="H527" s="2" t="n">
        <v>5</v>
      </c>
      <c r="I527" s="2" t="str">
        <f aca="false">IF(C527="","Open","Resolved")</f>
        <v>Resolved</v>
      </c>
      <c r="J527" s="2" t="str">
        <f aca="false">TEXT(B527,"yyyy-mm")</f>
        <v>2026-03</v>
      </c>
      <c r="K527" s="8" t="n">
        <f aca="false">IF(C527="","",ROUND((C527-B527)*24,2))</f>
        <v>19.45</v>
      </c>
      <c r="L527" s="2" t="n">
        <f aca="false">INDEX('SLA Policy'!$B$2:$B$5,MATCH(E527,'SLA Policy'!$A$2:$A$5,0))</f>
        <v>24</v>
      </c>
      <c r="M527" s="2" t="str">
        <f aca="false">IF(K527="","Open",IF(K527&lt;=L527,"Yes","No"))</f>
        <v>Yes</v>
      </c>
    </row>
    <row r="528" customFormat="false" ht="15" hidden="false" customHeight="false" outlineLevel="0" collapsed="false">
      <c r="A528" s="2" t="s">
        <v>562</v>
      </c>
      <c r="B528" s="7" t="n">
        <v>46099.7416666667</v>
      </c>
      <c r="C528" s="7" t="n">
        <v>46101.4493055556</v>
      </c>
      <c r="D528" s="2" t="s">
        <v>31</v>
      </c>
      <c r="E528" s="2" t="s">
        <v>32</v>
      </c>
      <c r="F528" s="2" t="s">
        <v>24</v>
      </c>
      <c r="G528" s="2" t="s">
        <v>33</v>
      </c>
      <c r="H528" s="2" t="n">
        <v>3</v>
      </c>
      <c r="I528" s="2" t="str">
        <f aca="false">IF(C528="","Open","Resolved")</f>
        <v>Resolved</v>
      </c>
      <c r="J528" s="2" t="str">
        <f aca="false">TEXT(B528,"yyyy-mm")</f>
        <v>2026-03</v>
      </c>
      <c r="K528" s="8" t="n">
        <f aca="false">IF(C528="","",ROUND((C528-B528)*24,2))</f>
        <v>40.98</v>
      </c>
      <c r="L528" s="2" t="n">
        <f aca="false">INDEX('SLA Policy'!$B$2:$B$5,MATCH(E528,'SLA Policy'!$A$2:$A$5,0))</f>
        <v>72</v>
      </c>
      <c r="M528" s="2" t="str">
        <f aca="false">IF(K528="","Open",IF(K528&lt;=L528,"Yes","No"))</f>
        <v>Yes</v>
      </c>
    </row>
    <row r="529" customFormat="false" ht="15" hidden="false" customHeight="false" outlineLevel="0" collapsed="false">
      <c r="A529" s="2" t="s">
        <v>563</v>
      </c>
      <c r="B529" s="7" t="n">
        <v>46099.7493055556</v>
      </c>
      <c r="C529" s="7" t="n">
        <v>46099.9013888889</v>
      </c>
      <c r="D529" s="2" t="s">
        <v>31</v>
      </c>
      <c r="E529" s="2" t="s">
        <v>40</v>
      </c>
      <c r="F529" s="2" t="s">
        <v>28</v>
      </c>
      <c r="G529" s="2" t="s">
        <v>33</v>
      </c>
      <c r="H529" s="2" t="n">
        <v>4</v>
      </c>
      <c r="I529" s="2" t="str">
        <f aca="false">IF(C529="","Open","Resolved")</f>
        <v>Resolved</v>
      </c>
      <c r="J529" s="2" t="str">
        <f aca="false">TEXT(B529,"yyyy-mm")</f>
        <v>2026-03</v>
      </c>
      <c r="K529" s="8" t="n">
        <f aca="false">IF(C529="","",ROUND((C529-B529)*24,2))</f>
        <v>3.65</v>
      </c>
      <c r="L529" s="2" t="n">
        <f aca="false">INDEX('SLA Policy'!$B$2:$B$5,MATCH(E529,'SLA Policy'!$A$2:$A$5,0))</f>
        <v>4</v>
      </c>
      <c r="M529" s="2" t="str">
        <f aca="false">IF(K529="","Open",IF(K529&lt;=L529,"Yes","No"))</f>
        <v>Yes</v>
      </c>
    </row>
    <row r="530" customFormat="false" ht="15" hidden="false" customHeight="false" outlineLevel="0" collapsed="false">
      <c r="A530" s="2" t="s">
        <v>564</v>
      </c>
      <c r="B530" s="7" t="n">
        <v>46099.7680555556</v>
      </c>
      <c r="C530" s="7" t="n">
        <v>46099.85</v>
      </c>
      <c r="D530" s="2" t="s">
        <v>31</v>
      </c>
      <c r="E530" s="2" t="s">
        <v>23</v>
      </c>
      <c r="F530" s="2" t="s">
        <v>38</v>
      </c>
      <c r="G530" s="2" t="s">
        <v>33</v>
      </c>
      <c r="H530" s="2" t="n">
        <v>5</v>
      </c>
      <c r="I530" s="2" t="str">
        <f aca="false">IF(C530="","Open","Resolved")</f>
        <v>Resolved</v>
      </c>
      <c r="J530" s="2" t="str">
        <f aca="false">TEXT(B530,"yyyy-mm")</f>
        <v>2026-03</v>
      </c>
      <c r="K530" s="8" t="n">
        <f aca="false">IF(C530="","",ROUND((C530-B530)*24,2))</f>
        <v>1.97</v>
      </c>
      <c r="L530" s="2" t="n">
        <f aca="false">INDEX('SLA Policy'!$B$2:$B$5,MATCH(E530,'SLA Policy'!$A$2:$A$5,0))</f>
        <v>8</v>
      </c>
      <c r="M530" s="2" t="str">
        <f aca="false">IF(K530="","Open",IF(K530&lt;=L530,"Yes","No"))</f>
        <v>Yes</v>
      </c>
    </row>
    <row r="531" customFormat="false" ht="15" hidden="false" customHeight="false" outlineLevel="0" collapsed="false">
      <c r="A531" s="2" t="s">
        <v>565</v>
      </c>
      <c r="B531" s="7" t="n">
        <v>46099.775</v>
      </c>
      <c r="C531" s="7" t="n">
        <v>46100.2631944444</v>
      </c>
      <c r="D531" s="2" t="s">
        <v>31</v>
      </c>
      <c r="E531" s="2" t="s">
        <v>35</v>
      </c>
      <c r="F531" s="2" t="s">
        <v>28</v>
      </c>
      <c r="G531" s="2" t="s">
        <v>33</v>
      </c>
      <c r="H531" s="2" t="n">
        <v>4</v>
      </c>
      <c r="I531" s="2" t="str">
        <f aca="false">IF(C531="","Open","Resolved")</f>
        <v>Resolved</v>
      </c>
      <c r="J531" s="2" t="str">
        <f aca="false">TEXT(B531,"yyyy-mm")</f>
        <v>2026-03</v>
      </c>
      <c r="K531" s="8" t="n">
        <f aca="false">IF(C531="","",ROUND((C531-B531)*24,2))</f>
        <v>11.72</v>
      </c>
      <c r="L531" s="2" t="n">
        <f aca="false">INDEX('SLA Policy'!$B$2:$B$5,MATCH(E531,'SLA Policy'!$A$2:$A$5,0))</f>
        <v>24</v>
      </c>
      <c r="M531" s="2" t="str">
        <f aca="false">IF(K531="","Open",IF(K531&lt;=L531,"Yes","No"))</f>
        <v>Yes</v>
      </c>
    </row>
    <row r="532" customFormat="false" ht="15" hidden="false" customHeight="false" outlineLevel="0" collapsed="false">
      <c r="A532" s="2" t="s">
        <v>566</v>
      </c>
      <c r="B532" s="7" t="n">
        <v>46100.3194444445</v>
      </c>
      <c r="C532" s="7" t="n">
        <v>46101.1805555556</v>
      </c>
      <c r="D532" s="2" t="s">
        <v>31</v>
      </c>
      <c r="E532" s="2" t="s">
        <v>35</v>
      </c>
      <c r="F532" s="2" t="s">
        <v>28</v>
      </c>
      <c r="G532" s="2" t="s">
        <v>33</v>
      </c>
      <c r="H532" s="2" t="n">
        <v>3</v>
      </c>
      <c r="I532" s="2" t="str">
        <f aca="false">IF(C532="","Open","Resolved")</f>
        <v>Resolved</v>
      </c>
      <c r="J532" s="2" t="str">
        <f aca="false">TEXT(B532,"yyyy-mm")</f>
        <v>2026-03</v>
      </c>
      <c r="K532" s="8" t="n">
        <f aca="false">IF(C532="","",ROUND((C532-B532)*24,2))</f>
        <v>20.67</v>
      </c>
      <c r="L532" s="2" t="n">
        <f aca="false">INDEX('SLA Policy'!$B$2:$B$5,MATCH(E532,'SLA Policy'!$A$2:$A$5,0))</f>
        <v>24</v>
      </c>
      <c r="M532" s="2" t="str">
        <f aca="false">IF(K532="","Open",IF(K532&lt;=L532,"Yes","No"))</f>
        <v>Yes</v>
      </c>
    </row>
    <row r="533" customFormat="false" ht="15" hidden="false" customHeight="false" outlineLevel="0" collapsed="false">
      <c r="A533" s="2" t="s">
        <v>567</v>
      </c>
      <c r="B533" s="7" t="n">
        <v>46100.3409722222</v>
      </c>
      <c r="C533" s="7" t="n">
        <v>46100.4333333333</v>
      </c>
      <c r="D533" s="2" t="s">
        <v>42</v>
      </c>
      <c r="E533" s="2" t="s">
        <v>23</v>
      </c>
      <c r="F533" s="2" t="s">
        <v>38</v>
      </c>
      <c r="G533" s="2" t="s">
        <v>29</v>
      </c>
      <c r="H533" s="2" t="n">
        <v>5</v>
      </c>
      <c r="I533" s="2" t="str">
        <f aca="false">IF(C533="","Open","Resolved")</f>
        <v>Resolved</v>
      </c>
      <c r="J533" s="2" t="str">
        <f aca="false">TEXT(B533,"yyyy-mm")</f>
        <v>2026-03</v>
      </c>
      <c r="K533" s="8" t="n">
        <f aca="false">IF(C533="","",ROUND((C533-B533)*24,2))</f>
        <v>2.22</v>
      </c>
      <c r="L533" s="2" t="n">
        <f aca="false">INDEX('SLA Policy'!$B$2:$B$5,MATCH(E533,'SLA Policy'!$A$2:$A$5,0))</f>
        <v>8</v>
      </c>
      <c r="M533" s="2" t="str">
        <f aca="false">IF(K533="","Open",IF(K533&lt;=L533,"Yes","No"))</f>
        <v>Yes</v>
      </c>
    </row>
    <row r="534" customFormat="false" ht="15" hidden="false" customHeight="false" outlineLevel="0" collapsed="false">
      <c r="A534" s="2" t="s">
        <v>568</v>
      </c>
      <c r="B534" s="7" t="n">
        <v>46100.3444444445</v>
      </c>
      <c r="C534" s="7" t="n">
        <v>46100.9881944444</v>
      </c>
      <c r="D534" s="2" t="s">
        <v>31</v>
      </c>
      <c r="E534" s="2" t="s">
        <v>23</v>
      </c>
      <c r="F534" s="2" t="s">
        <v>24</v>
      </c>
      <c r="G534" s="2" t="s">
        <v>33</v>
      </c>
      <c r="H534" s="2" t="n">
        <v>5</v>
      </c>
      <c r="I534" s="2" t="str">
        <f aca="false">IF(C534="","Open","Resolved")</f>
        <v>Resolved</v>
      </c>
      <c r="J534" s="2" t="str">
        <f aca="false">TEXT(B534,"yyyy-mm")</f>
        <v>2026-03</v>
      </c>
      <c r="K534" s="8" t="n">
        <f aca="false">IF(C534="","",ROUND((C534-B534)*24,2))</f>
        <v>15.45</v>
      </c>
      <c r="L534" s="2" t="n">
        <f aca="false">INDEX('SLA Policy'!$B$2:$B$5,MATCH(E534,'SLA Policy'!$A$2:$A$5,0))</f>
        <v>8</v>
      </c>
      <c r="M534" s="2" t="str">
        <f aca="false">IF(K534="","Open",IF(K534&lt;=L534,"Yes","No"))</f>
        <v>No</v>
      </c>
    </row>
    <row r="535" customFormat="false" ht="15" hidden="false" customHeight="false" outlineLevel="0" collapsed="false">
      <c r="A535" s="2" t="s">
        <v>569</v>
      </c>
      <c r="B535" s="7" t="n">
        <v>46100.4534722222</v>
      </c>
      <c r="C535" s="7" t="n">
        <v>46101.0784722222</v>
      </c>
      <c r="D535" s="2" t="s">
        <v>42</v>
      </c>
      <c r="E535" s="2" t="s">
        <v>35</v>
      </c>
      <c r="F535" s="2" t="s">
        <v>24</v>
      </c>
      <c r="G535" s="2" t="s">
        <v>29</v>
      </c>
      <c r="H535" s="2" t="n">
        <v>4</v>
      </c>
      <c r="I535" s="2" t="str">
        <f aca="false">IF(C535="","Open","Resolved")</f>
        <v>Resolved</v>
      </c>
      <c r="J535" s="2" t="str">
        <f aca="false">TEXT(B535,"yyyy-mm")</f>
        <v>2026-03</v>
      </c>
      <c r="K535" s="8" t="n">
        <f aca="false">IF(C535="","",ROUND((C535-B535)*24,2))</f>
        <v>15</v>
      </c>
      <c r="L535" s="2" t="n">
        <f aca="false">INDEX('SLA Policy'!$B$2:$B$5,MATCH(E535,'SLA Policy'!$A$2:$A$5,0))</f>
        <v>24</v>
      </c>
      <c r="M535" s="2" t="str">
        <f aca="false">IF(K535="","Open",IF(K535&lt;=L535,"Yes","No"))</f>
        <v>Yes</v>
      </c>
    </row>
    <row r="536" customFormat="false" ht="15" hidden="false" customHeight="false" outlineLevel="0" collapsed="false">
      <c r="A536" s="2" t="s">
        <v>570</v>
      </c>
      <c r="B536" s="7" t="n">
        <v>46100.4798611111</v>
      </c>
      <c r="C536" s="7" t="n">
        <v>46101.5951388889</v>
      </c>
      <c r="D536" s="2" t="s">
        <v>31</v>
      </c>
      <c r="E536" s="2" t="s">
        <v>35</v>
      </c>
      <c r="F536" s="2" t="s">
        <v>24</v>
      </c>
      <c r="G536" s="2" t="s">
        <v>33</v>
      </c>
      <c r="H536" s="2" t="n">
        <v>3</v>
      </c>
      <c r="I536" s="2" t="str">
        <f aca="false">IF(C536="","Open","Resolved")</f>
        <v>Resolved</v>
      </c>
      <c r="J536" s="2" t="str">
        <f aca="false">TEXT(B536,"yyyy-mm")</f>
        <v>2026-03</v>
      </c>
      <c r="K536" s="8" t="n">
        <f aca="false">IF(C536="","",ROUND((C536-B536)*24,2))</f>
        <v>26.77</v>
      </c>
      <c r="L536" s="2" t="n">
        <f aca="false">INDEX('SLA Policy'!$B$2:$B$5,MATCH(E536,'SLA Policy'!$A$2:$A$5,0))</f>
        <v>24</v>
      </c>
      <c r="M536" s="2" t="str">
        <f aca="false">IF(K536="","Open",IF(K536&lt;=L536,"Yes","No"))</f>
        <v>No</v>
      </c>
    </row>
    <row r="537" customFormat="false" ht="15" hidden="false" customHeight="false" outlineLevel="0" collapsed="false">
      <c r="A537" s="2" t="s">
        <v>571</v>
      </c>
      <c r="B537" s="7" t="n">
        <v>46100.4895833333</v>
      </c>
      <c r="C537" s="7" t="n">
        <v>46101.4236111111</v>
      </c>
      <c r="D537" s="2" t="s">
        <v>48</v>
      </c>
      <c r="E537" s="2" t="s">
        <v>35</v>
      </c>
      <c r="F537" s="2" t="s">
        <v>27</v>
      </c>
      <c r="G537" s="2" t="s">
        <v>25</v>
      </c>
      <c r="H537" s="2" t="n">
        <v>4</v>
      </c>
      <c r="I537" s="2" t="str">
        <f aca="false">IF(C537="","Open","Resolved")</f>
        <v>Resolved</v>
      </c>
      <c r="J537" s="2" t="str">
        <f aca="false">TEXT(B537,"yyyy-mm")</f>
        <v>2026-03</v>
      </c>
      <c r="K537" s="8" t="n">
        <f aca="false">IF(C537="","",ROUND((C537-B537)*24,2))</f>
        <v>22.42</v>
      </c>
      <c r="L537" s="2" t="n">
        <f aca="false">INDEX('SLA Policy'!$B$2:$B$5,MATCH(E537,'SLA Policy'!$A$2:$A$5,0))</f>
        <v>24</v>
      </c>
      <c r="M537" s="2" t="str">
        <f aca="false">IF(K537="","Open",IF(K537&lt;=L537,"Yes","No"))</f>
        <v>Yes</v>
      </c>
    </row>
    <row r="538" customFormat="false" ht="15" hidden="false" customHeight="false" outlineLevel="0" collapsed="false">
      <c r="A538" s="2" t="s">
        <v>572</v>
      </c>
      <c r="B538" s="7" t="n">
        <v>46100.50625</v>
      </c>
      <c r="C538" s="7" t="n">
        <v>46101.8694444444</v>
      </c>
      <c r="D538" s="2" t="s">
        <v>31</v>
      </c>
      <c r="E538" s="2" t="s">
        <v>32</v>
      </c>
      <c r="F538" s="2" t="s">
        <v>28</v>
      </c>
      <c r="G538" s="2" t="s">
        <v>33</v>
      </c>
      <c r="H538" s="2" t="n">
        <v>5</v>
      </c>
      <c r="I538" s="2" t="str">
        <f aca="false">IF(C538="","Open","Resolved")</f>
        <v>Resolved</v>
      </c>
      <c r="J538" s="2" t="str">
        <f aca="false">TEXT(B538,"yyyy-mm")</f>
        <v>2026-03</v>
      </c>
      <c r="K538" s="8" t="n">
        <f aca="false">IF(C538="","",ROUND((C538-B538)*24,2))</f>
        <v>32.72</v>
      </c>
      <c r="L538" s="2" t="n">
        <f aca="false">INDEX('SLA Policy'!$B$2:$B$5,MATCH(E538,'SLA Policy'!$A$2:$A$5,0))</f>
        <v>72</v>
      </c>
      <c r="M538" s="2" t="str">
        <f aca="false">IF(K538="","Open",IF(K538&lt;=L538,"Yes","No"))</f>
        <v>Yes</v>
      </c>
    </row>
    <row r="539" customFormat="false" ht="15" hidden="false" customHeight="false" outlineLevel="0" collapsed="false">
      <c r="A539" s="2" t="s">
        <v>573</v>
      </c>
      <c r="B539" s="7" t="n">
        <v>46100.5597222222</v>
      </c>
      <c r="C539" s="7" t="n">
        <v>46102.6270833333</v>
      </c>
      <c r="D539" s="2" t="s">
        <v>48</v>
      </c>
      <c r="E539" s="2" t="s">
        <v>35</v>
      </c>
      <c r="F539" s="2" t="s">
        <v>38</v>
      </c>
      <c r="G539" s="2" t="s">
        <v>25</v>
      </c>
      <c r="H539" s="2" t="n">
        <v>2</v>
      </c>
      <c r="I539" s="2" t="str">
        <f aca="false">IF(C539="","Open","Resolved")</f>
        <v>Resolved</v>
      </c>
      <c r="J539" s="2" t="str">
        <f aca="false">TEXT(B539,"yyyy-mm")</f>
        <v>2026-03</v>
      </c>
      <c r="K539" s="8" t="n">
        <f aca="false">IF(C539="","",ROUND((C539-B539)*24,2))</f>
        <v>49.62</v>
      </c>
      <c r="L539" s="2" t="n">
        <f aca="false">INDEX('SLA Policy'!$B$2:$B$5,MATCH(E539,'SLA Policy'!$A$2:$A$5,0))</f>
        <v>24</v>
      </c>
      <c r="M539" s="2" t="str">
        <f aca="false">IF(K539="","Open",IF(K539&lt;=L539,"Yes","No"))</f>
        <v>No</v>
      </c>
    </row>
    <row r="540" customFormat="false" ht="15" hidden="false" customHeight="false" outlineLevel="0" collapsed="false">
      <c r="A540" s="2" t="s">
        <v>574</v>
      </c>
      <c r="B540" s="7" t="n">
        <v>46100.5972222222</v>
      </c>
      <c r="C540" s="7" t="n">
        <v>46100.7729166667</v>
      </c>
      <c r="D540" s="2" t="s">
        <v>42</v>
      </c>
      <c r="E540" s="2" t="s">
        <v>35</v>
      </c>
      <c r="F540" s="2" t="s">
        <v>24</v>
      </c>
      <c r="G540" s="2" t="s">
        <v>29</v>
      </c>
      <c r="H540" s="2" t="n">
        <v>5</v>
      </c>
      <c r="I540" s="2" t="str">
        <f aca="false">IF(C540="","Open","Resolved")</f>
        <v>Resolved</v>
      </c>
      <c r="J540" s="2" t="str">
        <f aca="false">TEXT(B540,"yyyy-mm")</f>
        <v>2026-03</v>
      </c>
      <c r="K540" s="8" t="n">
        <f aca="false">IF(C540="","",ROUND((C540-B540)*24,2))</f>
        <v>4.22</v>
      </c>
      <c r="L540" s="2" t="n">
        <f aca="false">INDEX('SLA Policy'!$B$2:$B$5,MATCH(E540,'SLA Policy'!$A$2:$A$5,0))</f>
        <v>24</v>
      </c>
      <c r="M540" s="2" t="str">
        <f aca="false">IF(K540="","Open",IF(K540&lt;=L540,"Yes","No"))</f>
        <v>Yes</v>
      </c>
    </row>
    <row r="541" customFormat="false" ht="15" hidden="false" customHeight="false" outlineLevel="0" collapsed="false">
      <c r="A541" s="2" t="s">
        <v>575</v>
      </c>
      <c r="B541" s="7" t="n">
        <v>46100.6333333333</v>
      </c>
      <c r="C541" s="7" t="n">
        <v>46100.8590277778</v>
      </c>
      <c r="D541" s="2" t="s">
        <v>31</v>
      </c>
      <c r="E541" s="2" t="s">
        <v>23</v>
      </c>
      <c r="F541" s="2" t="s">
        <v>27</v>
      </c>
      <c r="G541" s="2" t="s">
        <v>33</v>
      </c>
      <c r="H541" s="2" t="n">
        <v>4</v>
      </c>
      <c r="I541" s="2" t="str">
        <f aca="false">IF(C541="","Open","Resolved")</f>
        <v>Resolved</v>
      </c>
      <c r="J541" s="2" t="str">
        <f aca="false">TEXT(B541,"yyyy-mm")</f>
        <v>2026-03</v>
      </c>
      <c r="K541" s="8" t="n">
        <f aca="false">IF(C541="","",ROUND((C541-B541)*24,2))</f>
        <v>5.42</v>
      </c>
      <c r="L541" s="2" t="n">
        <f aca="false">INDEX('SLA Policy'!$B$2:$B$5,MATCH(E541,'SLA Policy'!$A$2:$A$5,0))</f>
        <v>8</v>
      </c>
      <c r="M541" s="2" t="str">
        <f aca="false">IF(K541="","Open",IF(K541&lt;=L541,"Yes","No"))</f>
        <v>Yes</v>
      </c>
    </row>
    <row r="542" customFormat="false" ht="15" hidden="false" customHeight="false" outlineLevel="0" collapsed="false">
      <c r="A542" s="2" t="s">
        <v>576</v>
      </c>
      <c r="B542" s="7" t="n">
        <v>46100.7576388889</v>
      </c>
      <c r="C542" s="7" t="n">
        <v>46101.5319444445</v>
      </c>
      <c r="D542" s="2" t="s">
        <v>31</v>
      </c>
      <c r="E542" s="2" t="s">
        <v>35</v>
      </c>
      <c r="F542" s="2" t="s">
        <v>24</v>
      </c>
      <c r="G542" s="2" t="s">
        <v>33</v>
      </c>
      <c r="H542" s="2" t="n">
        <v>5</v>
      </c>
      <c r="I542" s="2" t="str">
        <f aca="false">IF(C542="","Open","Resolved")</f>
        <v>Resolved</v>
      </c>
      <c r="J542" s="2" t="str">
        <f aca="false">TEXT(B542,"yyyy-mm")</f>
        <v>2026-03</v>
      </c>
      <c r="K542" s="8" t="n">
        <f aca="false">IF(C542="","",ROUND((C542-B542)*24,2))</f>
        <v>18.58</v>
      </c>
      <c r="L542" s="2" t="n">
        <f aca="false">INDEX('SLA Policy'!$B$2:$B$5,MATCH(E542,'SLA Policy'!$A$2:$A$5,0))</f>
        <v>24</v>
      </c>
      <c r="M542" s="2" t="str">
        <f aca="false">IF(K542="","Open",IF(K542&lt;=L542,"Yes","No"))</f>
        <v>Yes</v>
      </c>
    </row>
    <row r="543" customFormat="false" ht="15" hidden="false" customHeight="false" outlineLevel="0" collapsed="false">
      <c r="A543" s="2" t="s">
        <v>577</v>
      </c>
      <c r="B543" s="7" t="n">
        <v>46101.3895833333</v>
      </c>
      <c r="C543" s="7" t="n">
        <v>46101.64375</v>
      </c>
      <c r="D543" s="2" t="s">
        <v>31</v>
      </c>
      <c r="E543" s="2" t="s">
        <v>23</v>
      </c>
      <c r="F543" s="2" t="s">
        <v>27</v>
      </c>
      <c r="G543" s="2" t="s">
        <v>33</v>
      </c>
      <c r="H543" s="2" t="n">
        <v>5</v>
      </c>
      <c r="I543" s="2" t="str">
        <f aca="false">IF(C543="","Open","Resolved")</f>
        <v>Resolved</v>
      </c>
      <c r="J543" s="2" t="str">
        <f aca="false">TEXT(B543,"yyyy-mm")</f>
        <v>2026-03</v>
      </c>
      <c r="K543" s="8" t="n">
        <f aca="false">IF(C543="","",ROUND((C543-B543)*24,2))</f>
        <v>6.1</v>
      </c>
      <c r="L543" s="2" t="n">
        <f aca="false">INDEX('SLA Policy'!$B$2:$B$5,MATCH(E543,'SLA Policy'!$A$2:$A$5,0))</f>
        <v>8</v>
      </c>
      <c r="M543" s="2" t="str">
        <f aca="false">IF(K543="","Open",IF(K543&lt;=L543,"Yes","No"))</f>
        <v>Yes</v>
      </c>
    </row>
    <row r="544" customFormat="false" ht="15" hidden="false" customHeight="false" outlineLevel="0" collapsed="false">
      <c r="A544" s="2" t="s">
        <v>578</v>
      </c>
      <c r="B544" s="7" t="n">
        <v>46101.3930555556</v>
      </c>
      <c r="C544" s="7" t="n">
        <v>46103.5604166667</v>
      </c>
      <c r="D544" s="2" t="s">
        <v>31</v>
      </c>
      <c r="E544" s="2" t="s">
        <v>35</v>
      </c>
      <c r="F544" s="2" t="s">
        <v>24</v>
      </c>
      <c r="G544" s="2" t="s">
        <v>33</v>
      </c>
      <c r="H544" s="2" t="n">
        <v>2</v>
      </c>
      <c r="I544" s="2" t="str">
        <f aca="false">IF(C544="","Open","Resolved")</f>
        <v>Resolved</v>
      </c>
      <c r="J544" s="2" t="str">
        <f aca="false">TEXT(B544,"yyyy-mm")</f>
        <v>2026-03</v>
      </c>
      <c r="K544" s="8" t="n">
        <f aca="false">IF(C544="","",ROUND((C544-B544)*24,2))</f>
        <v>52.02</v>
      </c>
      <c r="L544" s="2" t="n">
        <f aca="false">INDEX('SLA Policy'!$B$2:$B$5,MATCH(E544,'SLA Policy'!$A$2:$A$5,0))</f>
        <v>24</v>
      </c>
      <c r="M544" s="2" t="str">
        <f aca="false">IF(K544="","Open",IF(K544&lt;=L544,"Yes","No"))</f>
        <v>No</v>
      </c>
    </row>
    <row r="545" customFormat="false" ht="15" hidden="false" customHeight="false" outlineLevel="0" collapsed="false">
      <c r="A545" s="2" t="s">
        <v>579</v>
      </c>
      <c r="B545" s="7" t="n">
        <v>46101.5430555556</v>
      </c>
      <c r="C545" s="7" t="n">
        <v>46102.5583333333</v>
      </c>
      <c r="D545" s="2" t="s">
        <v>42</v>
      </c>
      <c r="E545" s="2" t="s">
        <v>32</v>
      </c>
      <c r="F545" s="2" t="s">
        <v>24</v>
      </c>
      <c r="G545" s="2" t="s">
        <v>29</v>
      </c>
      <c r="H545" s="2" t="n">
        <v>3</v>
      </c>
      <c r="I545" s="2" t="str">
        <f aca="false">IF(C545="","Open","Resolved")</f>
        <v>Resolved</v>
      </c>
      <c r="J545" s="2" t="str">
        <f aca="false">TEXT(B545,"yyyy-mm")</f>
        <v>2026-03</v>
      </c>
      <c r="K545" s="8" t="n">
        <f aca="false">IF(C545="","",ROUND((C545-B545)*24,2))</f>
        <v>24.37</v>
      </c>
      <c r="L545" s="2" t="n">
        <f aca="false">INDEX('SLA Policy'!$B$2:$B$5,MATCH(E545,'SLA Policy'!$A$2:$A$5,0))</f>
        <v>72</v>
      </c>
      <c r="M545" s="2" t="str">
        <f aca="false">IF(K545="","Open",IF(K545&lt;=L545,"Yes","No"))</f>
        <v>Yes</v>
      </c>
    </row>
    <row r="546" customFormat="false" ht="15" hidden="false" customHeight="false" outlineLevel="0" collapsed="false">
      <c r="A546" s="2" t="s">
        <v>580</v>
      </c>
      <c r="B546" s="7" t="n">
        <v>46101.6395833333</v>
      </c>
      <c r="C546" s="7" t="n">
        <v>46102.9631944444</v>
      </c>
      <c r="D546" s="2" t="s">
        <v>31</v>
      </c>
      <c r="E546" s="2" t="s">
        <v>35</v>
      </c>
      <c r="F546" s="2" t="s">
        <v>24</v>
      </c>
      <c r="G546" s="2" t="s">
        <v>33</v>
      </c>
      <c r="H546" s="2" t="n">
        <v>4</v>
      </c>
      <c r="I546" s="2" t="str">
        <f aca="false">IF(C546="","Open","Resolved")</f>
        <v>Resolved</v>
      </c>
      <c r="J546" s="2" t="str">
        <f aca="false">TEXT(B546,"yyyy-mm")</f>
        <v>2026-03</v>
      </c>
      <c r="K546" s="8" t="n">
        <f aca="false">IF(C546="","",ROUND((C546-B546)*24,2))</f>
        <v>31.77</v>
      </c>
      <c r="L546" s="2" t="n">
        <f aca="false">INDEX('SLA Policy'!$B$2:$B$5,MATCH(E546,'SLA Policy'!$A$2:$A$5,0))</f>
        <v>24</v>
      </c>
      <c r="M546" s="2" t="str">
        <f aca="false">IF(K546="","Open",IF(K546&lt;=L546,"Yes","No"))</f>
        <v>No</v>
      </c>
    </row>
    <row r="547" customFormat="false" ht="15" hidden="false" customHeight="false" outlineLevel="0" collapsed="false">
      <c r="A547" s="2" t="s">
        <v>581</v>
      </c>
      <c r="B547" s="7" t="n">
        <v>46101.6548611111</v>
      </c>
      <c r="C547" s="7" t="n">
        <v>46102.0840277778</v>
      </c>
      <c r="D547" s="2" t="s">
        <v>48</v>
      </c>
      <c r="E547" s="2" t="s">
        <v>23</v>
      </c>
      <c r="F547" s="2" t="s">
        <v>27</v>
      </c>
      <c r="G547" s="2" t="s">
        <v>25</v>
      </c>
      <c r="H547" s="2" t="n">
        <v>4</v>
      </c>
      <c r="I547" s="2" t="str">
        <f aca="false">IF(C547="","Open","Resolved")</f>
        <v>Resolved</v>
      </c>
      <c r="J547" s="2" t="str">
        <f aca="false">TEXT(B547,"yyyy-mm")</f>
        <v>2026-03</v>
      </c>
      <c r="K547" s="8" t="n">
        <f aca="false">IF(C547="","",ROUND((C547-B547)*24,2))</f>
        <v>10.3</v>
      </c>
      <c r="L547" s="2" t="n">
        <f aca="false">INDEX('SLA Policy'!$B$2:$B$5,MATCH(E547,'SLA Policy'!$A$2:$A$5,0))</f>
        <v>8</v>
      </c>
      <c r="M547" s="2" t="str">
        <f aca="false">IF(K547="","Open",IF(K547&lt;=L547,"Yes","No"))</f>
        <v>No</v>
      </c>
    </row>
    <row r="548" customFormat="false" ht="15" hidden="false" customHeight="false" outlineLevel="0" collapsed="false">
      <c r="A548" s="2" t="s">
        <v>582</v>
      </c>
      <c r="B548" s="7" t="n">
        <v>46101.6548611111</v>
      </c>
      <c r="C548" s="7" t="n">
        <v>46103.3430555556</v>
      </c>
      <c r="D548" s="2" t="s">
        <v>31</v>
      </c>
      <c r="E548" s="2" t="s">
        <v>32</v>
      </c>
      <c r="F548" s="2" t="s">
        <v>24</v>
      </c>
      <c r="G548" s="2" t="s">
        <v>33</v>
      </c>
      <c r="H548" s="2" t="n">
        <v>4</v>
      </c>
      <c r="I548" s="2" t="str">
        <f aca="false">IF(C548="","Open","Resolved")</f>
        <v>Resolved</v>
      </c>
      <c r="J548" s="2" t="str">
        <f aca="false">TEXT(B548,"yyyy-mm")</f>
        <v>2026-03</v>
      </c>
      <c r="K548" s="8" t="n">
        <f aca="false">IF(C548="","",ROUND((C548-B548)*24,2))</f>
        <v>40.52</v>
      </c>
      <c r="L548" s="2" t="n">
        <f aca="false">INDEX('SLA Policy'!$B$2:$B$5,MATCH(E548,'SLA Policy'!$A$2:$A$5,0))</f>
        <v>72</v>
      </c>
      <c r="M548" s="2" t="str">
        <f aca="false">IF(K548="","Open",IF(K548&lt;=L548,"Yes","No"))</f>
        <v>Yes</v>
      </c>
    </row>
    <row r="549" customFormat="false" ht="15" hidden="false" customHeight="false" outlineLevel="0" collapsed="false">
      <c r="A549" s="2" t="s">
        <v>583</v>
      </c>
      <c r="B549" s="7" t="n">
        <v>46101.6881944445</v>
      </c>
      <c r="C549" s="7" t="n">
        <v>46103.0875</v>
      </c>
      <c r="D549" s="2" t="s">
        <v>31</v>
      </c>
      <c r="E549" s="2" t="s">
        <v>35</v>
      </c>
      <c r="F549" s="2" t="s">
        <v>24</v>
      </c>
      <c r="G549" s="2" t="s">
        <v>33</v>
      </c>
      <c r="H549" s="2" t="n">
        <v>4</v>
      </c>
      <c r="I549" s="2" t="str">
        <f aca="false">IF(C549="","Open","Resolved")</f>
        <v>Resolved</v>
      </c>
      <c r="J549" s="2" t="str">
        <f aca="false">TEXT(B549,"yyyy-mm")</f>
        <v>2026-03</v>
      </c>
      <c r="K549" s="8" t="n">
        <f aca="false">IF(C549="","",ROUND((C549-B549)*24,2))</f>
        <v>33.58</v>
      </c>
      <c r="L549" s="2" t="n">
        <f aca="false">INDEX('SLA Policy'!$B$2:$B$5,MATCH(E549,'SLA Policy'!$A$2:$A$5,0))</f>
        <v>24</v>
      </c>
      <c r="M549" s="2" t="str">
        <f aca="false">IF(K549="","Open",IF(K549&lt;=L549,"Yes","No"))</f>
        <v>No</v>
      </c>
    </row>
    <row r="550" customFormat="false" ht="15" hidden="false" customHeight="false" outlineLevel="0" collapsed="false">
      <c r="A550" s="2" t="s">
        <v>584</v>
      </c>
      <c r="B550" s="7" t="n">
        <v>46101.7222222222</v>
      </c>
      <c r="C550" s="7" t="n">
        <v>46103.28125</v>
      </c>
      <c r="D550" s="2" t="s">
        <v>31</v>
      </c>
      <c r="E550" s="2" t="s">
        <v>32</v>
      </c>
      <c r="F550" s="2" t="s">
        <v>24</v>
      </c>
      <c r="G550" s="2" t="s">
        <v>33</v>
      </c>
      <c r="H550" s="2" t="n">
        <v>3</v>
      </c>
      <c r="I550" s="2" t="str">
        <f aca="false">IF(C550="","Open","Resolved")</f>
        <v>Resolved</v>
      </c>
      <c r="J550" s="2" t="str">
        <f aca="false">TEXT(B550,"yyyy-mm")</f>
        <v>2026-03</v>
      </c>
      <c r="K550" s="8" t="n">
        <f aca="false">IF(C550="","",ROUND((C550-B550)*24,2))</f>
        <v>37.42</v>
      </c>
      <c r="L550" s="2" t="n">
        <f aca="false">INDEX('SLA Policy'!$B$2:$B$5,MATCH(E550,'SLA Policy'!$A$2:$A$5,0))</f>
        <v>72</v>
      </c>
      <c r="M550" s="2" t="str">
        <f aca="false">IF(K550="","Open",IF(K550&lt;=L550,"Yes","No"))</f>
        <v>Yes</v>
      </c>
    </row>
    <row r="551" customFormat="false" ht="15" hidden="false" customHeight="false" outlineLevel="0" collapsed="false">
      <c r="A551" s="2" t="s">
        <v>585</v>
      </c>
      <c r="B551" s="7" t="n">
        <v>46101.7291666667</v>
      </c>
      <c r="C551" s="7" t="n">
        <v>46102.7215277778</v>
      </c>
      <c r="D551" s="2" t="s">
        <v>31</v>
      </c>
      <c r="E551" s="2" t="s">
        <v>35</v>
      </c>
      <c r="F551" s="2" t="s">
        <v>27</v>
      </c>
      <c r="G551" s="2" t="s">
        <v>33</v>
      </c>
      <c r="H551" s="2" t="n">
        <v>4</v>
      </c>
      <c r="I551" s="2" t="str">
        <f aca="false">IF(C551="","Open","Resolved")</f>
        <v>Resolved</v>
      </c>
      <c r="J551" s="2" t="str">
        <f aca="false">TEXT(B551,"yyyy-mm")</f>
        <v>2026-03</v>
      </c>
      <c r="K551" s="8" t="n">
        <f aca="false">IF(C551="","",ROUND((C551-B551)*24,2))</f>
        <v>23.82</v>
      </c>
      <c r="L551" s="2" t="n">
        <f aca="false">INDEX('SLA Policy'!$B$2:$B$5,MATCH(E551,'SLA Policy'!$A$2:$A$5,0))</f>
        <v>24</v>
      </c>
      <c r="M551" s="2" t="str">
        <f aca="false">IF(K551="","Open",IF(K551&lt;=L551,"Yes","No"))</f>
        <v>Yes</v>
      </c>
    </row>
    <row r="552" customFormat="false" ht="15" hidden="false" customHeight="false" outlineLevel="0" collapsed="false">
      <c r="A552" s="2" t="s">
        <v>586</v>
      </c>
      <c r="B552" s="7" t="n">
        <v>46101.7486111111</v>
      </c>
      <c r="C552" s="7" t="n">
        <v>46102.0381944445</v>
      </c>
      <c r="D552" s="2" t="s">
        <v>31</v>
      </c>
      <c r="E552" s="2" t="s">
        <v>23</v>
      </c>
      <c r="F552" s="2" t="s">
        <v>27</v>
      </c>
      <c r="G552" s="2" t="s">
        <v>33</v>
      </c>
      <c r="H552" s="2" t="n">
        <v>4</v>
      </c>
      <c r="I552" s="2" t="str">
        <f aca="false">IF(C552="","Open","Resolved")</f>
        <v>Resolved</v>
      </c>
      <c r="J552" s="2" t="str">
        <f aca="false">TEXT(B552,"yyyy-mm")</f>
        <v>2026-03</v>
      </c>
      <c r="K552" s="8" t="n">
        <f aca="false">IF(C552="","",ROUND((C552-B552)*24,2))</f>
        <v>6.95</v>
      </c>
      <c r="L552" s="2" t="n">
        <f aca="false">INDEX('SLA Policy'!$B$2:$B$5,MATCH(E552,'SLA Policy'!$A$2:$A$5,0))</f>
        <v>8</v>
      </c>
      <c r="M552" s="2" t="str">
        <f aca="false">IF(K552="","Open",IF(K552&lt;=L552,"Yes","No"))</f>
        <v>Yes</v>
      </c>
    </row>
    <row r="553" customFormat="false" ht="15" hidden="false" customHeight="false" outlineLevel="0" collapsed="false">
      <c r="A553" s="2" t="s">
        <v>587</v>
      </c>
      <c r="B553" s="7" t="n">
        <v>46101.7541666667</v>
      </c>
      <c r="C553" s="7" t="n">
        <v>46102.0520833333</v>
      </c>
      <c r="D553" s="2" t="s">
        <v>42</v>
      </c>
      <c r="E553" s="2" t="s">
        <v>35</v>
      </c>
      <c r="F553" s="2" t="s">
        <v>38</v>
      </c>
      <c r="G553" s="2" t="s">
        <v>29</v>
      </c>
      <c r="H553" s="2" t="n">
        <v>4</v>
      </c>
      <c r="I553" s="2" t="str">
        <f aca="false">IF(C553="","Open","Resolved")</f>
        <v>Resolved</v>
      </c>
      <c r="J553" s="2" t="str">
        <f aca="false">TEXT(B553,"yyyy-mm")</f>
        <v>2026-03</v>
      </c>
      <c r="K553" s="8" t="n">
        <f aca="false">IF(C553="","",ROUND((C553-B553)*24,2))</f>
        <v>7.15</v>
      </c>
      <c r="L553" s="2" t="n">
        <f aca="false">INDEX('SLA Policy'!$B$2:$B$5,MATCH(E553,'SLA Policy'!$A$2:$A$5,0))</f>
        <v>24</v>
      </c>
      <c r="M553" s="2" t="str">
        <f aca="false">IF(K553="","Open",IF(K553&lt;=L553,"Yes","No"))</f>
        <v>Yes</v>
      </c>
    </row>
    <row r="554" customFormat="false" ht="15" hidden="false" customHeight="false" outlineLevel="0" collapsed="false">
      <c r="A554" s="2" t="s">
        <v>588</v>
      </c>
      <c r="B554" s="7" t="n">
        <v>46101.7888888889</v>
      </c>
      <c r="C554" s="7" t="n">
        <v>46102.0361111111</v>
      </c>
      <c r="D554" s="2" t="s">
        <v>42</v>
      </c>
      <c r="E554" s="2" t="s">
        <v>35</v>
      </c>
      <c r="F554" s="2" t="s">
        <v>28</v>
      </c>
      <c r="G554" s="2" t="s">
        <v>29</v>
      </c>
      <c r="H554" s="2" t="n">
        <v>5</v>
      </c>
      <c r="I554" s="2" t="str">
        <f aca="false">IF(C554="","Open","Resolved")</f>
        <v>Resolved</v>
      </c>
      <c r="J554" s="2" t="str">
        <f aca="false">TEXT(B554,"yyyy-mm")</f>
        <v>2026-03</v>
      </c>
      <c r="K554" s="8" t="n">
        <f aca="false">IF(C554="","",ROUND((C554-B554)*24,2))</f>
        <v>5.93</v>
      </c>
      <c r="L554" s="2" t="n">
        <f aca="false">INDEX('SLA Policy'!$B$2:$B$5,MATCH(E554,'SLA Policy'!$A$2:$A$5,0))</f>
        <v>24</v>
      </c>
      <c r="M554" s="2" t="str">
        <f aca="false">IF(K554="","Open",IF(K554&lt;=L554,"Yes","No"))</f>
        <v>Yes</v>
      </c>
    </row>
    <row r="555" customFormat="false" ht="15" hidden="false" customHeight="false" outlineLevel="0" collapsed="false">
      <c r="A555" s="2" t="s">
        <v>589</v>
      </c>
      <c r="B555" s="7" t="n">
        <v>46102.29375</v>
      </c>
      <c r="C555" s="7" t="n">
        <v>46102.58125</v>
      </c>
      <c r="D555" s="2" t="s">
        <v>31</v>
      </c>
      <c r="E555" s="2" t="s">
        <v>23</v>
      </c>
      <c r="F555" s="2" t="s">
        <v>27</v>
      </c>
      <c r="G555" s="2" t="s">
        <v>33</v>
      </c>
      <c r="H555" s="2" t="n">
        <v>5</v>
      </c>
      <c r="I555" s="2" t="str">
        <f aca="false">IF(C555="","Open","Resolved")</f>
        <v>Resolved</v>
      </c>
      <c r="J555" s="2" t="str">
        <f aca="false">TEXT(B555,"yyyy-mm")</f>
        <v>2026-03</v>
      </c>
      <c r="K555" s="8" t="n">
        <f aca="false">IF(C555="","",ROUND((C555-B555)*24,2))</f>
        <v>6.9</v>
      </c>
      <c r="L555" s="2" t="n">
        <f aca="false">INDEX('SLA Policy'!$B$2:$B$5,MATCH(E555,'SLA Policy'!$A$2:$A$5,0))</f>
        <v>8</v>
      </c>
      <c r="M555" s="2" t="str">
        <f aca="false">IF(K555="","Open",IF(K555&lt;=L555,"Yes","No"))</f>
        <v>Yes</v>
      </c>
    </row>
    <row r="556" customFormat="false" ht="15" hidden="false" customHeight="false" outlineLevel="0" collapsed="false">
      <c r="A556" s="2" t="s">
        <v>590</v>
      </c>
      <c r="B556" s="7" t="n">
        <v>46102.3305555556</v>
      </c>
      <c r="C556" s="7" t="n">
        <v>46102.5708333333</v>
      </c>
      <c r="D556" s="2" t="s">
        <v>42</v>
      </c>
      <c r="E556" s="2" t="s">
        <v>35</v>
      </c>
      <c r="F556" s="2" t="s">
        <v>27</v>
      </c>
      <c r="G556" s="2" t="s">
        <v>29</v>
      </c>
      <c r="H556" s="2" t="n">
        <v>5</v>
      </c>
      <c r="I556" s="2" t="str">
        <f aca="false">IF(C556="","Open","Resolved")</f>
        <v>Resolved</v>
      </c>
      <c r="J556" s="2" t="str">
        <f aca="false">TEXT(B556,"yyyy-mm")</f>
        <v>2026-03</v>
      </c>
      <c r="K556" s="8" t="n">
        <f aca="false">IF(C556="","",ROUND((C556-B556)*24,2))</f>
        <v>5.77</v>
      </c>
      <c r="L556" s="2" t="n">
        <f aca="false">INDEX('SLA Policy'!$B$2:$B$5,MATCH(E556,'SLA Policy'!$A$2:$A$5,0))</f>
        <v>24</v>
      </c>
      <c r="M556" s="2" t="str">
        <f aca="false">IF(K556="","Open",IF(K556&lt;=L556,"Yes","No"))</f>
        <v>Yes</v>
      </c>
    </row>
    <row r="557" customFormat="false" ht="15" hidden="false" customHeight="false" outlineLevel="0" collapsed="false">
      <c r="A557" s="2" t="s">
        <v>591</v>
      </c>
      <c r="B557" s="7" t="n">
        <v>46102.4479166667</v>
      </c>
      <c r="C557" s="7" t="n">
        <v>46102.9138888889</v>
      </c>
      <c r="D557" s="2" t="s">
        <v>31</v>
      </c>
      <c r="E557" s="2" t="s">
        <v>35</v>
      </c>
      <c r="F557" s="2" t="s">
        <v>27</v>
      </c>
      <c r="G557" s="2" t="s">
        <v>33</v>
      </c>
      <c r="H557" s="2" t="n">
        <v>5</v>
      </c>
      <c r="I557" s="2" t="str">
        <f aca="false">IF(C557="","Open","Resolved")</f>
        <v>Resolved</v>
      </c>
      <c r="J557" s="2" t="str">
        <f aca="false">TEXT(B557,"yyyy-mm")</f>
        <v>2026-03</v>
      </c>
      <c r="K557" s="8" t="n">
        <f aca="false">IF(C557="","",ROUND((C557-B557)*24,2))</f>
        <v>11.18</v>
      </c>
      <c r="L557" s="2" t="n">
        <f aca="false">INDEX('SLA Policy'!$B$2:$B$5,MATCH(E557,'SLA Policy'!$A$2:$A$5,0))</f>
        <v>24</v>
      </c>
      <c r="M557" s="2" t="str">
        <f aca="false">IF(K557="","Open",IF(K557&lt;=L557,"Yes","No"))</f>
        <v>Yes</v>
      </c>
    </row>
    <row r="558" customFormat="false" ht="15" hidden="false" customHeight="false" outlineLevel="0" collapsed="false">
      <c r="A558" s="2" t="s">
        <v>592</v>
      </c>
      <c r="B558" s="7" t="n">
        <v>46102.5180555556</v>
      </c>
      <c r="C558" s="7" t="n">
        <v>46106.3895833333</v>
      </c>
      <c r="D558" s="2" t="s">
        <v>22</v>
      </c>
      <c r="E558" s="2" t="s">
        <v>32</v>
      </c>
      <c r="F558" s="2" t="s">
        <v>38</v>
      </c>
      <c r="G558" s="2" t="s">
        <v>25</v>
      </c>
      <c r="H558" s="2" t="n">
        <v>1</v>
      </c>
      <c r="I558" s="2" t="str">
        <f aca="false">IF(C558="","Open","Resolved")</f>
        <v>Resolved</v>
      </c>
      <c r="J558" s="2" t="str">
        <f aca="false">TEXT(B558,"yyyy-mm")</f>
        <v>2026-03</v>
      </c>
      <c r="K558" s="8" t="n">
        <f aca="false">IF(C558="","",ROUND((C558-B558)*24,2))</f>
        <v>92.92</v>
      </c>
      <c r="L558" s="2" t="n">
        <f aca="false">INDEX('SLA Policy'!$B$2:$B$5,MATCH(E558,'SLA Policy'!$A$2:$A$5,0))</f>
        <v>72</v>
      </c>
      <c r="M558" s="2" t="str">
        <f aca="false">IF(K558="","Open",IF(K558&lt;=L558,"Yes","No"))</f>
        <v>No</v>
      </c>
    </row>
    <row r="559" customFormat="false" ht="15" hidden="false" customHeight="false" outlineLevel="0" collapsed="false">
      <c r="A559" s="2" t="s">
        <v>593</v>
      </c>
      <c r="B559" s="7" t="n">
        <v>46103.3652777778</v>
      </c>
      <c r="C559" s="7" t="n">
        <v>46104.2361111111</v>
      </c>
      <c r="D559" s="2" t="s">
        <v>22</v>
      </c>
      <c r="E559" s="2" t="s">
        <v>23</v>
      </c>
      <c r="F559" s="2" t="s">
        <v>27</v>
      </c>
      <c r="G559" s="2" t="s">
        <v>25</v>
      </c>
      <c r="H559" s="2" t="n">
        <v>4</v>
      </c>
      <c r="I559" s="2" t="str">
        <f aca="false">IF(C559="","Open","Resolved")</f>
        <v>Resolved</v>
      </c>
      <c r="J559" s="2" t="str">
        <f aca="false">TEXT(B559,"yyyy-mm")</f>
        <v>2026-03</v>
      </c>
      <c r="K559" s="8" t="n">
        <f aca="false">IF(C559="","",ROUND((C559-B559)*24,2))</f>
        <v>20.9</v>
      </c>
      <c r="L559" s="2" t="n">
        <f aca="false">INDEX('SLA Policy'!$B$2:$B$5,MATCH(E559,'SLA Policy'!$A$2:$A$5,0))</f>
        <v>8</v>
      </c>
      <c r="M559" s="2" t="str">
        <f aca="false">IF(K559="","Open",IF(K559&lt;=L559,"Yes","No"))</f>
        <v>No</v>
      </c>
    </row>
    <row r="560" customFormat="false" ht="15" hidden="false" customHeight="false" outlineLevel="0" collapsed="false">
      <c r="A560" s="2" t="s">
        <v>594</v>
      </c>
      <c r="B560" s="7" t="n">
        <v>46103.3965277778</v>
      </c>
      <c r="C560" s="7" t="n">
        <v>46103.4368055556</v>
      </c>
      <c r="D560" s="2" t="s">
        <v>31</v>
      </c>
      <c r="E560" s="2" t="s">
        <v>40</v>
      </c>
      <c r="F560" s="2" t="s">
        <v>38</v>
      </c>
      <c r="G560" s="2" t="s">
        <v>33</v>
      </c>
      <c r="H560" s="2" t="n">
        <v>5</v>
      </c>
      <c r="I560" s="2" t="str">
        <f aca="false">IF(C560="","Open","Resolved")</f>
        <v>Resolved</v>
      </c>
      <c r="J560" s="2" t="str">
        <f aca="false">TEXT(B560,"yyyy-mm")</f>
        <v>2026-03</v>
      </c>
      <c r="K560" s="8" t="n">
        <f aca="false">IF(C560="","",ROUND((C560-B560)*24,2))</f>
        <v>0.97</v>
      </c>
      <c r="L560" s="2" t="n">
        <f aca="false">INDEX('SLA Policy'!$B$2:$B$5,MATCH(E560,'SLA Policy'!$A$2:$A$5,0))</f>
        <v>4</v>
      </c>
      <c r="M560" s="2" t="str">
        <f aca="false">IF(K560="","Open",IF(K560&lt;=L560,"Yes","No"))</f>
        <v>Yes</v>
      </c>
    </row>
    <row r="561" customFormat="false" ht="15" hidden="false" customHeight="false" outlineLevel="0" collapsed="false">
      <c r="A561" s="2" t="s">
        <v>595</v>
      </c>
      <c r="B561" s="7" t="n">
        <v>46103.5444444444</v>
      </c>
      <c r="C561" s="7" t="n">
        <v>46106.8402777778</v>
      </c>
      <c r="D561" s="2" t="s">
        <v>22</v>
      </c>
      <c r="E561" s="2" t="s">
        <v>32</v>
      </c>
      <c r="F561" s="2" t="s">
        <v>24</v>
      </c>
      <c r="G561" s="2" t="s">
        <v>25</v>
      </c>
      <c r="H561" s="2" t="n">
        <v>3</v>
      </c>
      <c r="I561" s="2" t="str">
        <f aca="false">IF(C561="","Open","Resolved")</f>
        <v>Resolved</v>
      </c>
      <c r="J561" s="2" t="str">
        <f aca="false">TEXT(B561,"yyyy-mm")</f>
        <v>2026-03</v>
      </c>
      <c r="K561" s="8" t="n">
        <f aca="false">IF(C561="","",ROUND((C561-B561)*24,2))</f>
        <v>79.1</v>
      </c>
      <c r="L561" s="2" t="n">
        <f aca="false">INDEX('SLA Policy'!$B$2:$B$5,MATCH(E561,'SLA Policy'!$A$2:$A$5,0))</f>
        <v>72</v>
      </c>
      <c r="M561" s="2" t="str">
        <f aca="false">IF(K561="","Open",IF(K561&lt;=L561,"Yes","No"))</f>
        <v>No</v>
      </c>
    </row>
    <row r="562" customFormat="false" ht="15" hidden="false" customHeight="false" outlineLevel="0" collapsed="false">
      <c r="A562" s="2" t="s">
        <v>596</v>
      </c>
      <c r="B562" s="7" t="n">
        <v>46103.5972222222</v>
      </c>
      <c r="C562" s="7" t="n">
        <v>46104.5395833333</v>
      </c>
      <c r="D562" s="2" t="s">
        <v>42</v>
      </c>
      <c r="E562" s="2" t="s">
        <v>32</v>
      </c>
      <c r="F562" s="2" t="s">
        <v>27</v>
      </c>
      <c r="G562" s="2" t="s">
        <v>29</v>
      </c>
      <c r="H562" s="2" t="n">
        <v>4</v>
      </c>
      <c r="I562" s="2" t="str">
        <f aca="false">IF(C562="","Open","Resolved")</f>
        <v>Resolved</v>
      </c>
      <c r="J562" s="2" t="str">
        <f aca="false">TEXT(B562,"yyyy-mm")</f>
        <v>2026-03</v>
      </c>
      <c r="K562" s="8" t="n">
        <f aca="false">IF(C562="","",ROUND((C562-B562)*24,2))</f>
        <v>22.62</v>
      </c>
      <c r="L562" s="2" t="n">
        <f aca="false">INDEX('SLA Policy'!$B$2:$B$5,MATCH(E562,'SLA Policy'!$A$2:$A$5,0))</f>
        <v>72</v>
      </c>
      <c r="M562" s="2" t="str">
        <f aca="false">IF(K562="","Open",IF(K562&lt;=L562,"Yes","No"))</f>
        <v>Yes</v>
      </c>
    </row>
    <row r="563" customFormat="false" ht="15" hidden="false" customHeight="false" outlineLevel="0" collapsed="false">
      <c r="A563" s="2" t="s">
        <v>597</v>
      </c>
      <c r="B563" s="7" t="n">
        <v>46103.7743055556</v>
      </c>
      <c r="C563" s="7" t="n">
        <v>46103.8888888889</v>
      </c>
      <c r="D563" s="2" t="s">
        <v>31</v>
      </c>
      <c r="E563" s="2" t="s">
        <v>23</v>
      </c>
      <c r="F563" s="2" t="s">
        <v>27</v>
      </c>
      <c r="G563" s="2" t="s">
        <v>33</v>
      </c>
      <c r="H563" s="2" t="n">
        <v>5</v>
      </c>
      <c r="I563" s="2" t="str">
        <f aca="false">IF(C563="","Open","Resolved")</f>
        <v>Resolved</v>
      </c>
      <c r="J563" s="2" t="str">
        <f aca="false">TEXT(B563,"yyyy-mm")</f>
        <v>2026-03</v>
      </c>
      <c r="K563" s="8" t="n">
        <f aca="false">IF(C563="","",ROUND((C563-B563)*24,2))</f>
        <v>2.75</v>
      </c>
      <c r="L563" s="2" t="n">
        <f aca="false">INDEX('SLA Policy'!$B$2:$B$5,MATCH(E563,'SLA Policy'!$A$2:$A$5,0))</f>
        <v>8</v>
      </c>
      <c r="M563" s="2" t="str">
        <f aca="false">IF(K563="","Open",IF(K563&lt;=L563,"Yes","No"))</f>
        <v>Yes</v>
      </c>
    </row>
    <row r="564" customFormat="false" ht="15" hidden="false" customHeight="false" outlineLevel="0" collapsed="false">
      <c r="A564" s="2" t="s">
        <v>598</v>
      </c>
      <c r="B564" s="7" t="n">
        <v>46104.3048611111</v>
      </c>
      <c r="C564" s="7" t="n">
        <v>46106.6569444445</v>
      </c>
      <c r="D564" s="2" t="s">
        <v>31</v>
      </c>
      <c r="E564" s="2" t="s">
        <v>32</v>
      </c>
      <c r="F564" s="2" t="s">
        <v>28</v>
      </c>
      <c r="G564" s="2" t="s">
        <v>33</v>
      </c>
      <c r="H564" s="2" t="n">
        <v>3</v>
      </c>
      <c r="I564" s="2" t="str">
        <f aca="false">IF(C564="","Open","Resolved")</f>
        <v>Resolved</v>
      </c>
      <c r="J564" s="2" t="str">
        <f aca="false">TEXT(B564,"yyyy-mm")</f>
        <v>2026-03</v>
      </c>
      <c r="K564" s="8" t="n">
        <f aca="false">IF(C564="","",ROUND((C564-B564)*24,2))</f>
        <v>56.45</v>
      </c>
      <c r="L564" s="2" t="n">
        <f aca="false">INDEX('SLA Policy'!$B$2:$B$5,MATCH(E564,'SLA Policy'!$A$2:$A$5,0))</f>
        <v>72</v>
      </c>
      <c r="M564" s="2" t="str">
        <f aca="false">IF(K564="","Open",IF(K564&lt;=L564,"Yes","No"))</f>
        <v>Yes</v>
      </c>
    </row>
    <row r="565" customFormat="false" ht="15" hidden="false" customHeight="false" outlineLevel="0" collapsed="false">
      <c r="A565" s="2" t="s">
        <v>599</v>
      </c>
      <c r="B565" s="7" t="n">
        <v>46104.3354166667</v>
      </c>
      <c r="C565" s="7" t="n">
        <v>46105.4666666667</v>
      </c>
      <c r="D565" s="2" t="s">
        <v>31</v>
      </c>
      <c r="E565" s="2" t="s">
        <v>35</v>
      </c>
      <c r="F565" s="2" t="s">
        <v>24</v>
      </c>
      <c r="G565" s="2" t="s">
        <v>33</v>
      </c>
      <c r="H565" s="2" t="n">
        <v>4</v>
      </c>
      <c r="I565" s="2" t="str">
        <f aca="false">IF(C565="","Open","Resolved")</f>
        <v>Resolved</v>
      </c>
      <c r="J565" s="2" t="str">
        <f aca="false">TEXT(B565,"yyyy-mm")</f>
        <v>2026-03</v>
      </c>
      <c r="K565" s="8" t="n">
        <f aca="false">IF(C565="","",ROUND((C565-B565)*24,2))</f>
        <v>27.15</v>
      </c>
      <c r="L565" s="2" t="n">
        <f aca="false">INDEX('SLA Policy'!$B$2:$B$5,MATCH(E565,'SLA Policy'!$A$2:$A$5,0))</f>
        <v>24</v>
      </c>
      <c r="M565" s="2" t="str">
        <f aca="false">IF(K565="","Open",IF(K565&lt;=L565,"Yes","No"))</f>
        <v>No</v>
      </c>
    </row>
    <row r="566" customFormat="false" ht="15" hidden="false" customHeight="false" outlineLevel="0" collapsed="false">
      <c r="A566" s="2" t="s">
        <v>600</v>
      </c>
      <c r="B566" s="7" t="n">
        <v>46104.3777777778</v>
      </c>
      <c r="C566" s="7" t="n">
        <v>46104.5826388889</v>
      </c>
      <c r="D566" s="2" t="s">
        <v>31</v>
      </c>
      <c r="E566" s="2" t="s">
        <v>23</v>
      </c>
      <c r="F566" s="2" t="s">
        <v>27</v>
      </c>
      <c r="G566" s="2" t="s">
        <v>33</v>
      </c>
      <c r="H566" s="2" t="n">
        <v>5</v>
      </c>
      <c r="I566" s="2" t="str">
        <f aca="false">IF(C566="","Open","Resolved")</f>
        <v>Resolved</v>
      </c>
      <c r="J566" s="2" t="str">
        <f aca="false">TEXT(B566,"yyyy-mm")</f>
        <v>2026-03</v>
      </c>
      <c r="K566" s="8" t="n">
        <f aca="false">IF(C566="","",ROUND((C566-B566)*24,2))</f>
        <v>4.92</v>
      </c>
      <c r="L566" s="2" t="n">
        <f aca="false">INDEX('SLA Policy'!$B$2:$B$5,MATCH(E566,'SLA Policy'!$A$2:$A$5,0))</f>
        <v>8</v>
      </c>
      <c r="M566" s="2" t="str">
        <f aca="false">IF(K566="","Open",IF(K566&lt;=L566,"Yes","No"))</f>
        <v>Yes</v>
      </c>
    </row>
    <row r="567" customFormat="false" ht="15" hidden="false" customHeight="false" outlineLevel="0" collapsed="false">
      <c r="A567" s="2" t="s">
        <v>601</v>
      </c>
      <c r="B567" s="7" t="n">
        <v>46104.3944444444</v>
      </c>
      <c r="C567" s="7" t="n">
        <v>46105.8715277778</v>
      </c>
      <c r="D567" s="2" t="s">
        <v>42</v>
      </c>
      <c r="E567" s="2" t="s">
        <v>32</v>
      </c>
      <c r="F567" s="2" t="s">
        <v>38</v>
      </c>
      <c r="G567" s="2" t="s">
        <v>29</v>
      </c>
      <c r="H567" s="2" t="n">
        <v>3</v>
      </c>
      <c r="I567" s="2" t="str">
        <f aca="false">IF(C567="","Open","Resolved")</f>
        <v>Resolved</v>
      </c>
      <c r="J567" s="2" t="str">
        <f aca="false">TEXT(B567,"yyyy-mm")</f>
        <v>2026-03</v>
      </c>
      <c r="K567" s="8" t="n">
        <f aca="false">IF(C567="","",ROUND((C567-B567)*24,2))</f>
        <v>35.45</v>
      </c>
      <c r="L567" s="2" t="n">
        <f aca="false">INDEX('SLA Policy'!$B$2:$B$5,MATCH(E567,'SLA Policy'!$A$2:$A$5,0))</f>
        <v>72</v>
      </c>
      <c r="M567" s="2" t="str">
        <f aca="false">IF(K567="","Open",IF(K567&lt;=L567,"Yes","No"))</f>
        <v>Yes</v>
      </c>
    </row>
    <row r="568" customFormat="false" ht="15" hidden="false" customHeight="false" outlineLevel="0" collapsed="false">
      <c r="A568" s="2" t="s">
        <v>602</v>
      </c>
      <c r="B568" s="7" t="n">
        <v>46104.4</v>
      </c>
      <c r="C568" s="7" t="n">
        <v>46104.7548611111</v>
      </c>
      <c r="D568" s="2" t="s">
        <v>27</v>
      </c>
      <c r="E568" s="2" t="s">
        <v>35</v>
      </c>
      <c r="F568" s="2" t="s">
        <v>27</v>
      </c>
      <c r="G568" s="2" t="s">
        <v>29</v>
      </c>
      <c r="H568" s="2" t="n">
        <v>4</v>
      </c>
      <c r="I568" s="2" t="str">
        <f aca="false">IF(C568="","Open","Resolved")</f>
        <v>Resolved</v>
      </c>
      <c r="J568" s="2" t="str">
        <f aca="false">TEXT(B568,"yyyy-mm")</f>
        <v>2026-03</v>
      </c>
      <c r="K568" s="8" t="n">
        <f aca="false">IF(C568="","",ROUND((C568-B568)*24,2))</f>
        <v>8.52</v>
      </c>
      <c r="L568" s="2" t="n">
        <f aca="false">INDEX('SLA Policy'!$B$2:$B$5,MATCH(E568,'SLA Policy'!$A$2:$A$5,0))</f>
        <v>24</v>
      </c>
      <c r="M568" s="2" t="str">
        <f aca="false">IF(K568="","Open",IF(K568&lt;=L568,"Yes","No"))</f>
        <v>Yes</v>
      </c>
    </row>
    <row r="569" customFormat="false" ht="15" hidden="false" customHeight="false" outlineLevel="0" collapsed="false">
      <c r="A569" s="2" t="s">
        <v>603</v>
      </c>
      <c r="B569" s="7" t="n">
        <v>46104.4076388889</v>
      </c>
      <c r="C569" s="7" t="n">
        <v>46105.00625</v>
      </c>
      <c r="D569" s="2" t="s">
        <v>48</v>
      </c>
      <c r="E569" s="2" t="s">
        <v>35</v>
      </c>
      <c r="F569" s="2" t="s">
        <v>27</v>
      </c>
      <c r="G569" s="2" t="s">
        <v>25</v>
      </c>
      <c r="H569" s="2" t="n">
        <v>3</v>
      </c>
      <c r="I569" s="2" t="str">
        <f aca="false">IF(C569="","Open","Resolved")</f>
        <v>Resolved</v>
      </c>
      <c r="J569" s="2" t="str">
        <f aca="false">TEXT(B569,"yyyy-mm")</f>
        <v>2026-03</v>
      </c>
      <c r="K569" s="8" t="n">
        <f aca="false">IF(C569="","",ROUND((C569-B569)*24,2))</f>
        <v>14.37</v>
      </c>
      <c r="L569" s="2" t="n">
        <f aca="false">INDEX('SLA Policy'!$B$2:$B$5,MATCH(E569,'SLA Policy'!$A$2:$A$5,0))</f>
        <v>24</v>
      </c>
      <c r="M569" s="2" t="str">
        <f aca="false">IF(K569="","Open",IF(K569&lt;=L569,"Yes","No"))</f>
        <v>Yes</v>
      </c>
    </row>
    <row r="570" customFormat="false" ht="15" hidden="false" customHeight="false" outlineLevel="0" collapsed="false">
      <c r="A570" s="2" t="s">
        <v>604</v>
      </c>
      <c r="B570" s="7" t="n">
        <v>46104.4659722222</v>
      </c>
      <c r="C570" s="7" t="n">
        <v>46105.5</v>
      </c>
      <c r="D570" s="2" t="s">
        <v>31</v>
      </c>
      <c r="E570" s="2" t="s">
        <v>32</v>
      </c>
      <c r="F570" s="2" t="s">
        <v>38</v>
      </c>
      <c r="G570" s="2" t="s">
        <v>33</v>
      </c>
      <c r="H570" s="2" t="n">
        <v>4</v>
      </c>
      <c r="I570" s="2" t="str">
        <f aca="false">IF(C570="","Open","Resolved")</f>
        <v>Resolved</v>
      </c>
      <c r="J570" s="2" t="str">
        <f aca="false">TEXT(B570,"yyyy-mm")</f>
        <v>2026-03</v>
      </c>
      <c r="K570" s="8" t="n">
        <f aca="false">IF(C570="","",ROUND((C570-B570)*24,2))</f>
        <v>24.82</v>
      </c>
      <c r="L570" s="2" t="n">
        <f aca="false">INDEX('SLA Policy'!$B$2:$B$5,MATCH(E570,'SLA Policy'!$A$2:$A$5,0))</f>
        <v>72</v>
      </c>
      <c r="M570" s="2" t="str">
        <f aca="false">IF(K570="","Open",IF(K570&lt;=L570,"Yes","No"))</f>
        <v>Yes</v>
      </c>
    </row>
    <row r="571" customFormat="false" ht="15" hidden="false" customHeight="false" outlineLevel="0" collapsed="false">
      <c r="A571" s="2" t="s">
        <v>605</v>
      </c>
      <c r="B571" s="7" t="n">
        <v>46104.5395833333</v>
      </c>
      <c r="C571" s="7" t="n">
        <v>46104.8402777778</v>
      </c>
      <c r="D571" s="2" t="s">
        <v>42</v>
      </c>
      <c r="E571" s="2" t="s">
        <v>35</v>
      </c>
      <c r="F571" s="2" t="s">
        <v>28</v>
      </c>
      <c r="G571" s="2" t="s">
        <v>29</v>
      </c>
      <c r="H571" s="2" t="n">
        <v>5</v>
      </c>
      <c r="I571" s="2" t="str">
        <f aca="false">IF(C571="","Open","Resolved")</f>
        <v>Resolved</v>
      </c>
      <c r="J571" s="2" t="str">
        <f aca="false">TEXT(B571,"yyyy-mm")</f>
        <v>2026-03</v>
      </c>
      <c r="K571" s="8" t="n">
        <f aca="false">IF(C571="","",ROUND((C571-B571)*24,2))</f>
        <v>7.22</v>
      </c>
      <c r="L571" s="2" t="n">
        <f aca="false">INDEX('SLA Policy'!$B$2:$B$5,MATCH(E571,'SLA Policy'!$A$2:$A$5,0))</f>
        <v>24</v>
      </c>
      <c r="M571" s="2" t="str">
        <f aca="false">IF(K571="","Open",IF(K571&lt;=L571,"Yes","No"))</f>
        <v>Yes</v>
      </c>
    </row>
    <row r="572" customFormat="false" ht="15" hidden="false" customHeight="false" outlineLevel="0" collapsed="false">
      <c r="A572" s="2" t="s">
        <v>606</v>
      </c>
      <c r="B572" s="7" t="n">
        <v>46104.6118055556</v>
      </c>
      <c r="C572" s="7" t="n">
        <v>46105.3409722222</v>
      </c>
      <c r="D572" s="2" t="s">
        <v>31</v>
      </c>
      <c r="E572" s="2" t="s">
        <v>32</v>
      </c>
      <c r="F572" s="2" t="s">
        <v>38</v>
      </c>
      <c r="G572" s="2" t="s">
        <v>33</v>
      </c>
      <c r="H572" s="2" t="n">
        <v>4</v>
      </c>
      <c r="I572" s="2" t="str">
        <f aca="false">IF(C572="","Open","Resolved")</f>
        <v>Resolved</v>
      </c>
      <c r="J572" s="2" t="str">
        <f aca="false">TEXT(B572,"yyyy-mm")</f>
        <v>2026-03</v>
      </c>
      <c r="K572" s="8" t="n">
        <f aca="false">IF(C572="","",ROUND((C572-B572)*24,2))</f>
        <v>17.5</v>
      </c>
      <c r="L572" s="2" t="n">
        <f aca="false">INDEX('SLA Policy'!$B$2:$B$5,MATCH(E572,'SLA Policy'!$A$2:$A$5,0))</f>
        <v>72</v>
      </c>
      <c r="M572" s="2" t="str">
        <f aca="false">IF(K572="","Open",IF(K572&lt;=L572,"Yes","No"))</f>
        <v>Yes</v>
      </c>
    </row>
    <row r="573" customFormat="false" ht="15" hidden="false" customHeight="false" outlineLevel="0" collapsed="false">
      <c r="A573" s="2" t="s">
        <v>607</v>
      </c>
      <c r="B573" s="7" t="n">
        <v>46104.6451388889</v>
      </c>
      <c r="C573" s="7" t="n">
        <v>46104.8916666667</v>
      </c>
      <c r="D573" s="2" t="s">
        <v>31</v>
      </c>
      <c r="E573" s="2" t="s">
        <v>40</v>
      </c>
      <c r="F573" s="2" t="s">
        <v>27</v>
      </c>
      <c r="G573" s="2" t="s">
        <v>33</v>
      </c>
      <c r="H573" s="2" t="n">
        <v>4</v>
      </c>
      <c r="I573" s="2" t="str">
        <f aca="false">IF(C573="","Open","Resolved")</f>
        <v>Resolved</v>
      </c>
      <c r="J573" s="2" t="str">
        <f aca="false">TEXT(B573,"yyyy-mm")</f>
        <v>2026-03</v>
      </c>
      <c r="K573" s="8" t="n">
        <f aca="false">IF(C573="","",ROUND((C573-B573)*24,2))</f>
        <v>5.92</v>
      </c>
      <c r="L573" s="2" t="n">
        <f aca="false">INDEX('SLA Policy'!$B$2:$B$5,MATCH(E573,'SLA Policy'!$A$2:$A$5,0))</f>
        <v>4</v>
      </c>
      <c r="M573" s="2" t="str">
        <f aca="false">IF(K573="","Open",IF(K573&lt;=L573,"Yes","No"))</f>
        <v>No</v>
      </c>
    </row>
    <row r="574" customFormat="false" ht="15" hidden="false" customHeight="false" outlineLevel="0" collapsed="false">
      <c r="A574" s="2" t="s">
        <v>608</v>
      </c>
      <c r="B574" s="7" t="n">
        <v>46104.6763888889</v>
      </c>
      <c r="C574" s="7" t="n">
        <v>46105.5805555556</v>
      </c>
      <c r="D574" s="2" t="s">
        <v>31</v>
      </c>
      <c r="E574" s="2" t="s">
        <v>35</v>
      </c>
      <c r="F574" s="2" t="s">
        <v>24</v>
      </c>
      <c r="G574" s="2" t="s">
        <v>33</v>
      </c>
      <c r="H574" s="2" t="n">
        <v>5</v>
      </c>
      <c r="I574" s="2" t="str">
        <f aca="false">IF(C574="","Open","Resolved")</f>
        <v>Resolved</v>
      </c>
      <c r="J574" s="2" t="str">
        <f aca="false">TEXT(B574,"yyyy-mm")</f>
        <v>2026-03</v>
      </c>
      <c r="K574" s="8" t="n">
        <f aca="false">IF(C574="","",ROUND((C574-B574)*24,2))</f>
        <v>21.7</v>
      </c>
      <c r="L574" s="2" t="n">
        <f aca="false">INDEX('SLA Policy'!$B$2:$B$5,MATCH(E574,'SLA Policy'!$A$2:$A$5,0))</f>
        <v>24</v>
      </c>
      <c r="M574" s="2" t="str">
        <f aca="false">IF(K574="","Open",IF(K574&lt;=L574,"Yes","No"))</f>
        <v>Yes</v>
      </c>
    </row>
    <row r="575" customFormat="false" ht="15" hidden="false" customHeight="false" outlineLevel="0" collapsed="false">
      <c r="A575" s="2" t="s">
        <v>609</v>
      </c>
      <c r="B575" s="7" t="n">
        <v>46104.7375</v>
      </c>
      <c r="C575" s="7" t="n">
        <v>46108.1777777778</v>
      </c>
      <c r="D575" s="2" t="s">
        <v>48</v>
      </c>
      <c r="E575" s="2" t="s">
        <v>32</v>
      </c>
      <c r="F575" s="2" t="s">
        <v>24</v>
      </c>
      <c r="G575" s="2" t="s">
        <v>25</v>
      </c>
      <c r="H575" s="2" t="n">
        <v>2</v>
      </c>
      <c r="I575" s="2" t="str">
        <f aca="false">IF(C575="","Open","Resolved")</f>
        <v>Resolved</v>
      </c>
      <c r="J575" s="2" t="str">
        <f aca="false">TEXT(B575,"yyyy-mm")</f>
        <v>2026-03</v>
      </c>
      <c r="K575" s="8" t="n">
        <f aca="false">IF(C575="","",ROUND((C575-B575)*24,2))</f>
        <v>82.57</v>
      </c>
      <c r="L575" s="2" t="n">
        <f aca="false">INDEX('SLA Policy'!$B$2:$B$5,MATCH(E575,'SLA Policy'!$A$2:$A$5,0))</f>
        <v>72</v>
      </c>
      <c r="M575" s="2" t="str">
        <f aca="false">IF(K575="","Open",IF(K575&lt;=L575,"Yes","No"))</f>
        <v>No</v>
      </c>
    </row>
    <row r="576" customFormat="false" ht="15" hidden="false" customHeight="false" outlineLevel="0" collapsed="false">
      <c r="A576" s="2" t="s">
        <v>610</v>
      </c>
      <c r="B576" s="7" t="n">
        <v>46104.7611111111</v>
      </c>
      <c r="C576" s="7" t="n">
        <v>46106.6402777778</v>
      </c>
      <c r="D576" s="2" t="s">
        <v>22</v>
      </c>
      <c r="E576" s="2" t="s">
        <v>32</v>
      </c>
      <c r="F576" s="2" t="s">
        <v>27</v>
      </c>
      <c r="G576" s="2" t="s">
        <v>25</v>
      </c>
      <c r="H576" s="2" t="n">
        <v>3</v>
      </c>
      <c r="I576" s="2" t="str">
        <f aca="false">IF(C576="","Open","Resolved")</f>
        <v>Resolved</v>
      </c>
      <c r="J576" s="2" t="str">
        <f aca="false">TEXT(B576,"yyyy-mm")</f>
        <v>2026-03</v>
      </c>
      <c r="K576" s="8" t="n">
        <f aca="false">IF(C576="","",ROUND((C576-B576)*24,2))</f>
        <v>45.1</v>
      </c>
      <c r="L576" s="2" t="n">
        <f aca="false">INDEX('SLA Policy'!$B$2:$B$5,MATCH(E576,'SLA Policy'!$A$2:$A$5,0))</f>
        <v>72</v>
      </c>
      <c r="M576" s="2" t="str">
        <f aca="false">IF(K576="","Open",IF(K576&lt;=L576,"Yes","No"))</f>
        <v>Yes</v>
      </c>
    </row>
    <row r="577" customFormat="false" ht="15" hidden="false" customHeight="false" outlineLevel="0" collapsed="false">
      <c r="A577" s="2" t="s">
        <v>611</v>
      </c>
      <c r="B577" s="7" t="n">
        <v>46104.7819444445</v>
      </c>
      <c r="C577" s="7" t="n">
        <v>46105.7909722222</v>
      </c>
      <c r="D577" s="2" t="s">
        <v>31</v>
      </c>
      <c r="E577" s="2" t="s">
        <v>32</v>
      </c>
      <c r="F577" s="2" t="s">
        <v>24</v>
      </c>
      <c r="G577" s="2" t="s">
        <v>33</v>
      </c>
      <c r="H577" s="2" t="n">
        <v>3</v>
      </c>
      <c r="I577" s="2" t="str">
        <f aca="false">IF(C577="","Open","Resolved")</f>
        <v>Resolved</v>
      </c>
      <c r="J577" s="2" t="str">
        <f aca="false">TEXT(B577,"yyyy-mm")</f>
        <v>2026-03</v>
      </c>
      <c r="K577" s="8" t="n">
        <f aca="false">IF(C577="","",ROUND((C577-B577)*24,2))</f>
        <v>24.22</v>
      </c>
      <c r="L577" s="2" t="n">
        <f aca="false">INDEX('SLA Policy'!$B$2:$B$5,MATCH(E577,'SLA Policy'!$A$2:$A$5,0))</f>
        <v>72</v>
      </c>
      <c r="M577" s="2" t="str">
        <f aca="false">IF(K577="","Open",IF(K577&lt;=L577,"Yes","No"))</f>
        <v>Yes</v>
      </c>
    </row>
    <row r="578" customFormat="false" ht="15" hidden="false" customHeight="false" outlineLevel="0" collapsed="false">
      <c r="A578" s="2" t="s">
        <v>612</v>
      </c>
      <c r="B578" s="7" t="n">
        <v>46105.3006944444</v>
      </c>
      <c r="C578" s="7" t="n">
        <v>46105.9909722222</v>
      </c>
      <c r="D578" s="2" t="s">
        <v>27</v>
      </c>
      <c r="E578" s="2" t="s">
        <v>23</v>
      </c>
      <c r="F578" s="2" t="s">
        <v>27</v>
      </c>
      <c r="G578" s="2" t="s">
        <v>29</v>
      </c>
      <c r="H578" s="2" t="n">
        <v>3</v>
      </c>
      <c r="I578" s="2" t="str">
        <f aca="false">IF(C578="","Open","Resolved")</f>
        <v>Resolved</v>
      </c>
      <c r="J578" s="2" t="str">
        <f aca="false">TEXT(B578,"yyyy-mm")</f>
        <v>2026-03</v>
      </c>
      <c r="K578" s="8" t="n">
        <f aca="false">IF(C578="","",ROUND((C578-B578)*24,2))</f>
        <v>16.57</v>
      </c>
      <c r="L578" s="2" t="n">
        <f aca="false">INDEX('SLA Policy'!$B$2:$B$5,MATCH(E578,'SLA Policy'!$A$2:$A$5,0))</f>
        <v>8</v>
      </c>
      <c r="M578" s="2" t="str">
        <f aca="false">IF(K578="","Open",IF(K578&lt;=L578,"Yes","No"))</f>
        <v>No</v>
      </c>
    </row>
    <row r="579" customFormat="false" ht="15" hidden="false" customHeight="false" outlineLevel="0" collapsed="false">
      <c r="A579" s="2" t="s">
        <v>613</v>
      </c>
      <c r="B579" s="7" t="n">
        <v>46105.4256944444</v>
      </c>
      <c r="C579" s="7" t="n">
        <v>46107.6326388889</v>
      </c>
      <c r="D579" s="2" t="s">
        <v>31</v>
      </c>
      <c r="E579" s="2" t="s">
        <v>32</v>
      </c>
      <c r="F579" s="2" t="s">
        <v>27</v>
      </c>
      <c r="G579" s="2" t="s">
        <v>33</v>
      </c>
      <c r="H579" s="2" t="n">
        <v>4</v>
      </c>
      <c r="I579" s="2" t="str">
        <f aca="false">IF(C579="","Open","Resolved")</f>
        <v>Resolved</v>
      </c>
      <c r="J579" s="2" t="str">
        <f aca="false">TEXT(B579,"yyyy-mm")</f>
        <v>2026-03</v>
      </c>
      <c r="K579" s="8" t="n">
        <f aca="false">IF(C579="","",ROUND((C579-B579)*24,2))</f>
        <v>52.97</v>
      </c>
      <c r="L579" s="2" t="n">
        <f aca="false">INDEX('SLA Policy'!$B$2:$B$5,MATCH(E579,'SLA Policy'!$A$2:$A$5,0))</f>
        <v>72</v>
      </c>
      <c r="M579" s="2" t="str">
        <f aca="false">IF(K579="","Open",IF(K579&lt;=L579,"Yes","No"))</f>
        <v>Yes</v>
      </c>
    </row>
    <row r="580" customFormat="false" ht="15" hidden="false" customHeight="false" outlineLevel="0" collapsed="false">
      <c r="A580" s="2" t="s">
        <v>614</v>
      </c>
      <c r="B580" s="7" t="n">
        <v>46105.4486111111</v>
      </c>
      <c r="C580" s="7" t="n">
        <v>46106.7923611111</v>
      </c>
      <c r="D580" s="2" t="s">
        <v>27</v>
      </c>
      <c r="E580" s="2" t="s">
        <v>32</v>
      </c>
      <c r="F580" s="2" t="s">
        <v>27</v>
      </c>
      <c r="G580" s="2" t="s">
        <v>29</v>
      </c>
      <c r="H580" s="2" t="n">
        <v>4</v>
      </c>
      <c r="I580" s="2" t="str">
        <f aca="false">IF(C580="","Open","Resolved")</f>
        <v>Resolved</v>
      </c>
      <c r="J580" s="2" t="str">
        <f aca="false">TEXT(B580,"yyyy-mm")</f>
        <v>2026-03</v>
      </c>
      <c r="K580" s="8" t="n">
        <f aca="false">IF(C580="","",ROUND((C580-B580)*24,2))</f>
        <v>32.25</v>
      </c>
      <c r="L580" s="2" t="n">
        <f aca="false">INDEX('SLA Policy'!$B$2:$B$5,MATCH(E580,'SLA Policy'!$A$2:$A$5,0))</f>
        <v>72</v>
      </c>
      <c r="M580" s="2" t="str">
        <f aca="false">IF(K580="","Open",IF(K580&lt;=L580,"Yes","No"))</f>
        <v>Yes</v>
      </c>
    </row>
    <row r="581" customFormat="false" ht="15" hidden="false" customHeight="false" outlineLevel="0" collapsed="false">
      <c r="A581" s="2" t="s">
        <v>615</v>
      </c>
      <c r="B581" s="7" t="n">
        <v>46105.5</v>
      </c>
      <c r="C581" s="7" t="n">
        <v>46108.2458333333</v>
      </c>
      <c r="D581" s="2" t="s">
        <v>31</v>
      </c>
      <c r="E581" s="2" t="s">
        <v>32</v>
      </c>
      <c r="F581" s="2" t="s">
        <v>27</v>
      </c>
      <c r="G581" s="2" t="s">
        <v>33</v>
      </c>
      <c r="H581" s="2" t="n">
        <v>3</v>
      </c>
      <c r="I581" s="2" t="str">
        <f aca="false">IF(C581="","Open","Resolved")</f>
        <v>Resolved</v>
      </c>
      <c r="J581" s="2" t="str">
        <f aca="false">TEXT(B581,"yyyy-mm")</f>
        <v>2026-03</v>
      </c>
      <c r="K581" s="8" t="n">
        <f aca="false">IF(C581="","",ROUND((C581-B581)*24,2))</f>
        <v>65.9</v>
      </c>
      <c r="L581" s="2" t="n">
        <f aca="false">INDEX('SLA Policy'!$B$2:$B$5,MATCH(E581,'SLA Policy'!$A$2:$A$5,0))</f>
        <v>72</v>
      </c>
      <c r="M581" s="2" t="str">
        <f aca="false">IF(K581="","Open",IF(K581&lt;=L581,"Yes","No"))</f>
        <v>Yes</v>
      </c>
    </row>
    <row r="582" customFormat="false" ht="15" hidden="false" customHeight="false" outlineLevel="0" collapsed="false">
      <c r="A582" s="2" t="s">
        <v>616</v>
      </c>
      <c r="B582" s="7" t="n">
        <v>46105.5215277778</v>
      </c>
      <c r="C582" s="7" t="n">
        <v>46107.2659722222</v>
      </c>
      <c r="D582" s="2" t="s">
        <v>31</v>
      </c>
      <c r="E582" s="2" t="s">
        <v>32</v>
      </c>
      <c r="F582" s="2" t="s">
        <v>27</v>
      </c>
      <c r="G582" s="2" t="s">
        <v>33</v>
      </c>
      <c r="H582" s="2" t="n">
        <v>3</v>
      </c>
      <c r="I582" s="2" t="str">
        <f aca="false">IF(C582="","Open","Resolved")</f>
        <v>Resolved</v>
      </c>
      <c r="J582" s="2" t="str">
        <f aca="false">TEXT(B582,"yyyy-mm")</f>
        <v>2026-03</v>
      </c>
      <c r="K582" s="8" t="n">
        <f aca="false">IF(C582="","",ROUND((C582-B582)*24,2))</f>
        <v>41.87</v>
      </c>
      <c r="L582" s="2" t="n">
        <f aca="false">INDEX('SLA Policy'!$B$2:$B$5,MATCH(E582,'SLA Policy'!$A$2:$A$5,0))</f>
        <v>72</v>
      </c>
      <c r="M582" s="2" t="str">
        <f aca="false">IF(K582="","Open",IF(K582&lt;=L582,"Yes","No"))</f>
        <v>Yes</v>
      </c>
    </row>
    <row r="583" customFormat="false" ht="15" hidden="false" customHeight="false" outlineLevel="0" collapsed="false">
      <c r="A583" s="2" t="s">
        <v>617</v>
      </c>
      <c r="B583" s="7" t="n">
        <v>46105.6041666667</v>
      </c>
      <c r="C583" s="7" t="n">
        <v>46105.7090277778</v>
      </c>
      <c r="D583" s="2" t="s">
        <v>22</v>
      </c>
      <c r="E583" s="2" t="s">
        <v>40</v>
      </c>
      <c r="F583" s="2" t="s">
        <v>24</v>
      </c>
      <c r="G583" s="2" t="s">
        <v>25</v>
      </c>
      <c r="H583" s="2" t="n">
        <v>5</v>
      </c>
      <c r="I583" s="2" t="str">
        <f aca="false">IF(C583="","Open","Resolved")</f>
        <v>Resolved</v>
      </c>
      <c r="J583" s="2" t="str">
        <f aca="false">TEXT(B583,"yyyy-mm")</f>
        <v>2026-03</v>
      </c>
      <c r="K583" s="8" t="n">
        <f aca="false">IF(C583="","",ROUND((C583-B583)*24,2))</f>
        <v>2.52</v>
      </c>
      <c r="L583" s="2" t="n">
        <f aca="false">INDEX('SLA Policy'!$B$2:$B$5,MATCH(E583,'SLA Policy'!$A$2:$A$5,0))</f>
        <v>4</v>
      </c>
      <c r="M583" s="2" t="str">
        <f aca="false">IF(K583="","Open",IF(K583&lt;=L583,"Yes","No"))</f>
        <v>Yes</v>
      </c>
    </row>
    <row r="584" customFormat="false" ht="15" hidden="false" customHeight="false" outlineLevel="0" collapsed="false">
      <c r="A584" s="2" t="s">
        <v>618</v>
      </c>
      <c r="B584" s="7" t="n">
        <v>46105.6388888889</v>
      </c>
      <c r="C584" s="7" t="n">
        <v>46106.4236111111</v>
      </c>
      <c r="D584" s="2" t="s">
        <v>31</v>
      </c>
      <c r="E584" s="2" t="s">
        <v>35</v>
      </c>
      <c r="F584" s="2" t="s">
        <v>24</v>
      </c>
      <c r="G584" s="2" t="s">
        <v>33</v>
      </c>
      <c r="H584" s="2" t="n">
        <v>4</v>
      </c>
      <c r="I584" s="2" t="str">
        <f aca="false">IF(C584="","Open","Resolved")</f>
        <v>Resolved</v>
      </c>
      <c r="J584" s="2" t="str">
        <f aca="false">TEXT(B584,"yyyy-mm")</f>
        <v>2026-03</v>
      </c>
      <c r="K584" s="8" t="n">
        <f aca="false">IF(C584="","",ROUND((C584-B584)*24,2))</f>
        <v>18.83</v>
      </c>
      <c r="L584" s="2" t="n">
        <f aca="false">INDEX('SLA Policy'!$B$2:$B$5,MATCH(E584,'SLA Policy'!$A$2:$A$5,0))</f>
        <v>24</v>
      </c>
      <c r="M584" s="2" t="str">
        <f aca="false">IF(K584="","Open",IF(K584&lt;=L584,"Yes","No"))</f>
        <v>Yes</v>
      </c>
    </row>
    <row r="585" customFormat="false" ht="15" hidden="false" customHeight="false" outlineLevel="0" collapsed="false">
      <c r="A585" s="2" t="s">
        <v>619</v>
      </c>
      <c r="B585" s="7" t="n">
        <v>46105.65</v>
      </c>
      <c r="C585" s="7" t="n">
        <v>46106.2097222222</v>
      </c>
      <c r="D585" s="2" t="s">
        <v>42</v>
      </c>
      <c r="E585" s="2" t="s">
        <v>35</v>
      </c>
      <c r="F585" s="2" t="s">
        <v>38</v>
      </c>
      <c r="G585" s="2" t="s">
        <v>29</v>
      </c>
      <c r="H585" s="2" t="n">
        <v>5</v>
      </c>
      <c r="I585" s="2" t="str">
        <f aca="false">IF(C585="","Open","Resolved")</f>
        <v>Resolved</v>
      </c>
      <c r="J585" s="2" t="str">
        <f aca="false">TEXT(B585,"yyyy-mm")</f>
        <v>2026-03</v>
      </c>
      <c r="K585" s="8" t="n">
        <f aca="false">IF(C585="","",ROUND((C585-B585)*24,2))</f>
        <v>13.43</v>
      </c>
      <c r="L585" s="2" t="n">
        <f aca="false">INDEX('SLA Policy'!$B$2:$B$5,MATCH(E585,'SLA Policy'!$A$2:$A$5,0))</f>
        <v>24</v>
      </c>
      <c r="M585" s="2" t="str">
        <f aca="false">IF(K585="","Open",IF(K585&lt;=L585,"Yes","No"))</f>
        <v>Yes</v>
      </c>
    </row>
    <row r="586" customFormat="false" ht="15" hidden="false" customHeight="false" outlineLevel="0" collapsed="false">
      <c r="A586" s="2" t="s">
        <v>620</v>
      </c>
      <c r="B586" s="7" t="n">
        <v>46105.6833333333</v>
      </c>
      <c r="C586" s="7" t="n">
        <v>46106.9881944444</v>
      </c>
      <c r="D586" s="2" t="s">
        <v>31</v>
      </c>
      <c r="E586" s="2" t="s">
        <v>23</v>
      </c>
      <c r="F586" s="2" t="s">
        <v>28</v>
      </c>
      <c r="G586" s="2" t="s">
        <v>33</v>
      </c>
      <c r="H586" s="2" t="n">
        <v>4</v>
      </c>
      <c r="I586" s="2" t="str">
        <f aca="false">IF(C586="","Open","Resolved")</f>
        <v>Resolved</v>
      </c>
      <c r="J586" s="2" t="str">
        <f aca="false">TEXT(B586,"yyyy-mm")</f>
        <v>2026-03</v>
      </c>
      <c r="K586" s="8" t="n">
        <f aca="false">IF(C586="","",ROUND((C586-B586)*24,2))</f>
        <v>31.32</v>
      </c>
      <c r="L586" s="2" t="n">
        <f aca="false">INDEX('SLA Policy'!$B$2:$B$5,MATCH(E586,'SLA Policy'!$A$2:$A$5,0))</f>
        <v>8</v>
      </c>
      <c r="M586" s="2" t="str">
        <f aca="false">IF(K586="","Open",IF(K586&lt;=L586,"Yes","No"))</f>
        <v>No</v>
      </c>
    </row>
    <row r="587" customFormat="false" ht="15" hidden="false" customHeight="false" outlineLevel="0" collapsed="false">
      <c r="A587" s="2" t="s">
        <v>621</v>
      </c>
      <c r="B587" s="7" t="n">
        <v>46105.6944444445</v>
      </c>
      <c r="C587" s="7" t="n">
        <v>46106.6826388889</v>
      </c>
      <c r="D587" s="2" t="s">
        <v>31</v>
      </c>
      <c r="E587" s="2" t="s">
        <v>35</v>
      </c>
      <c r="F587" s="2" t="s">
        <v>27</v>
      </c>
      <c r="G587" s="2" t="s">
        <v>33</v>
      </c>
      <c r="H587" s="2" t="n">
        <v>5</v>
      </c>
      <c r="I587" s="2" t="str">
        <f aca="false">IF(C587="","Open","Resolved")</f>
        <v>Resolved</v>
      </c>
      <c r="J587" s="2" t="str">
        <f aca="false">TEXT(B587,"yyyy-mm")</f>
        <v>2026-03</v>
      </c>
      <c r="K587" s="8" t="n">
        <f aca="false">IF(C587="","",ROUND((C587-B587)*24,2))</f>
        <v>23.72</v>
      </c>
      <c r="L587" s="2" t="n">
        <f aca="false">INDEX('SLA Policy'!$B$2:$B$5,MATCH(E587,'SLA Policy'!$A$2:$A$5,0))</f>
        <v>24</v>
      </c>
      <c r="M587" s="2" t="str">
        <f aca="false">IF(K587="","Open",IF(K587&lt;=L587,"Yes","No"))</f>
        <v>Yes</v>
      </c>
    </row>
    <row r="588" customFormat="false" ht="15" hidden="false" customHeight="false" outlineLevel="0" collapsed="false">
      <c r="A588" s="2" t="s">
        <v>622</v>
      </c>
      <c r="B588" s="7" t="n">
        <v>46105.7361111111</v>
      </c>
      <c r="C588" s="7" t="n">
        <v>46106.0277777778</v>
      </c>
      <c r="D588" s="2" t="s">
        <v>31</v>
      </c>
      <c r="E588" s="2" t="s">
        <v>35</v>
      </c>
      <c r="F588" s="2" t="s">
        <v>24</v>
      </c>
      <c r="G588" s="2" t="s">
        <v>33</v>
      </c>
      <c r="H588" s="2" t="n">
        <v>5</v>
      </c>
      <c r="I588" s="2" t="str">
        <f aca="false">IF(C588="","Open","Resolved")</f>
        <v>Resolved</v>
      </c>
      <c r="J588" s="2" t="str">
        <f aca="false">TEXT(B588,"yyyy-mm")</f>
        <v>2026-03</v>
      </c>
      <c r="K588" s="8" t="n">
        <f aca="false">IF(C588="","",ROUND((C588-B588)*24,2))</f>
        <v>7</v>
      </c>
      <c r="L588" s="2" t="n">
        <f aca="false">INDEX('SLA Policy'!$B$2:$B$5,MATCH(E588,'SLA Policy'!$A$2:$A$5,0))</f>
        <v>24</v>
      </c>
      <c r="M588" s="2" t="str">
        <f aca="false">IF(K588="","Open",IF(K588&lt;=L588,"Yes","No"))</f>
        <v>Yes</v>
      </c>
    </row>
    <row r="589" customFormat="false" ht="15" hidden="false" customHeight="false" outlineLevel="0" collapsed="false">
      <c r="A589" s="2" t="s">
        <v>623</v>
      </c>
      <c r="B589" s="7" t="n">
        <v>46106.3541666667</v>
      </c>
      <c r="C589" s="7" t="n">
        <v>46106.5166666667</v>
      </c>
      <c r="D589" s="2" t="s">
        <v>27</v>
      </c>
      <c r="E589" s="2" t="s">
        <v>23</v>
      </c>
      <c r="F589" s="2" t="s">
        <v>24</v>
      </c>
      <c r="G589" s="2" t="s">
        <v>29</v>
      </c>
      <c r="H589" s="2" t="n">
        <v>5</v>
      </c>
      <c r="I589" s="2" t="str">
        <f aca="false">IF(C589="","Open","Resolved")</f>
        <v>Resolved</v>
      </c>
      <c r="J589" s="2" t="str">
        <f aca="false">TEXT(B589,"yyyy-mm")</f>
        <v>2026-03</v>
      </c>
      <c r="K589" s="8" t="n">
        <f aca="false">IF(C589="","",ROUND((C589-B589)*24,2))</f>
        <v>3.9</v>
      </c>
      <c r="L589" s="2" t="n">
        <f aca="false">INDEX('SLA Policy'!$B$2:$B$5,MATCH(E589,'SLA Policy'!$A$2:$A$5,0))</f>
        <v>8</v>
      </c>
      <c r="M589" s="2" t="str">
        <f aca="false">IF(K589="","Open",IF(K589&lt;=L589,"Yes","No"))</f>
        <v>Yes</v>
      </c>
    </row>
    <row r="590" customFormat="false" ht="15" hidden="false" customHeight="false" outlineLevel="0" collapsed="false">
      <c r="A590" s="2" t="s">
        <v>624</v>
      </c>
      <c r="B590" s="7" t="n">
        <v>46106.3548611111</v>
      </c>
      <c r="C590" s="7" t="n">
        <v>46107.4145833333</v>
      </c>
      <c r="D590" s="2" t="s">
        <v>31</v>
      </c>
      <c r="E590" s="2" t="s">
        <v>35</v>
      </c>
      <c r="F590" s="2" t="s">
        <v>27</v>
      </c>
      <c r="G590" s="2" t="s">
        <v>33</v>
      </c>
      <c r="H590" s="2" t="n">
        <v>3</v>
      </c>
      <c r="I590" s="2" t="str">
        <f aca="false">IF(C590="","Open","Resolved")</f>
        <v>Resolved</v>
      </c>
      <c r="J590" s="2" t="str">
        <f aca="false">TEXT(B590,"yyyy-mm")</f>
        <v>2026-03</v>
      </c>
      <c r="K590" s="8" t="n">
        <f aca="false">IF(C590="","",ROUND((C590-B590)*24,2))</f>
        <v>25.43</v>
      </c>
      <c r="L590" s="2" t="n">
        <f aca="false">INDEX('SLA Policy'!$B$2:$B$5,MATCH(E590,'SLA Policy'!$A$2:$A$5,0))</f>
        <v>24</v>
      </c>
      <c r="M590" s="2" t="str">
        <f aca="false">IF(K590="","Open",IF(K590&lt;=L590,"Yes","No"))</f>
        <v>No</v>
      </c>
    </row>
    <row r="591" customFormat="false" ht="15" hidden="false" customHeight="false" outlineLevel="0" collapsed="false">
      <c r="A591" s="2" t="s">
        <v>625</v>
      </c>
      <c r="B591" s="7" t="n">
        <v>46106.40625</v>
      </c>
      <c r="C591" s="7" t="n">
        <v>46106.7666666667</v>
      </c>
      <c r="D591" s="2" t="s">
        <v>31</v>
      </c>
      <c r="E591" s="2" t="s">
        <v>23</v>
      </c>
      <c r="F591" s="2" t="s">
        <v>38</v>
      </c>
      <c r="G591" s="2" t="s">
        <v>33</v>
      </c>
      <c r="H591" s="2" t="n">
        <v>4</v>
      </c>
      <c r="I591" s="2" t="str">
        <f aca="false">IF(C591="","Open","Resolved")</f>
        <v>Resolved</v>
      </c>
      <c r="J591" s="2" t="str">
        <f aca="false">TEXT(B591,"yyyy-mm")</f>
        <v>2026-03</v>
      </c>
      <c r="K591" s="8" t="n">
        <f aca="false">IF(C591="","",ROUND((C591-B591)*24,2))</f>
        <v>8.65</v>
      </c>
      <c r="L591" s="2" t="n">
        <f aca="false">INDEX('SLA Policy'!$B$2:$B$5,MATCH(E591,'SLA Policy'!$A$2:$A$5,0))</f>
        <v>8</v>
      </c>
      <c r="M591" s="2" t="str">
        <f aca="false">IF(K591="","Open",IF(K591&lt;=L591,"Yes","No"))</f>
        <v>No</v>
      </c>
    </row>
    <row r="592" customFormat="false" ht="15" hidden="false" customHeight="false" outlineLevel="0" collapsed="false">
      <c r="A592" s="2" t="s">
        <v>626</v>
      </c>
      <c r="B592" s="7" t="n">
        <v>46106.4284722222</v>
      </c>
      <c r="C592" s="7" t="n">
        <v>46113.8979166667</v>
      </c>
      <c r="D592" s="2" t="s">
        <v>22</v>
      </c>
      <c r="E592" s="2" t="s">
        <v>32</v>
      </c>
      <c r="F592" s="2" t="s">
        <v>24</v>
      </c>
      <c r="G592" s="2" t="s">
        <v>25</v>
      </c>
      <c r="H592" s="2" t="n">
        <v>1</v>
      </c>
      <c r="I592" s="2" t="str">
        <f aca="false">IF(C592="","Open","Resolved")</f>
        <v>Resolved</v>
      </c>
      <c r="J592" s="2" t="str">
        <f aca="false">TEXT(B592,"yyyy-mm")</f>
        <v>2026-03</v>
      </c>
      <c r="K592" s="8" t="n">
        <f aca="false">IF(C592="","",ROUND((C592-B592)*24,2))</f>
        <v>179.27</v>
      </c>
      <c r="L592" s="2" t="n">
        <f aca="false">INDEX('SLA Policy'!$B$2:$B$5,MATCH(E592,'SLA Policy'!$A$2:$A$5,0))</f>
        <v>72</v>
      </c>
      <c r="M592" s="2" t="str">
        <f aca="false">IF(K592="","Open",IF(K592&lt;=L592,"Yes","No"))</f>
        <v>No</v>
      </c>
    </row>
    <row r="593" customFormat="false" ht="15" hidden="false" customHeight="false" outlineLevel="0" collapsed="false">
      <c r="A593" s="2" t="s">
        <v>627</v>
      </c>
      <c r="B593" s="7" t="n">
        <v>46106.4520833333</v>
      </c>
      <c r="C593" s="7" t="n">
        <v>46107.3229166667</v>
      </c>
      <c r="D593" s="2" t="s">
        <v>22</v>
      </c>
      <c r="E593" s="2" t="s">
        <v>35</v>
      </c>
      <c r="F593" s="2" t="s">
        <v>24</v>
      </c>
      <c r="G593" s="2" t="s">
        <v>25</v>
      </c>
      <c r="H593" s="2" t="n">
        <v>4</v>
      </c>
      <c r="I593" s="2" t="str">
        <f aca="false">IF(C593="","Open","Resolved")</f>
        <v>Resolved</v>
      </c>
      <c r="J593" s="2" t="str">
        <f aca="false">TEXT(B593,"yyyy-mm")</f>
        <v>2026-03</v>
      </c>
      <c r="K593" s="8" t="n">
        <f aca="false">IF(C593="","",ROUND((C593-B593)*24,2))</f>
        <v>20.9</v>
      </c>
      <c r="L593" s="2" t="n">
        <f aca="false">INDEX('SLA Policy'!$B$2:$B$5,MATCH(E593,'SLA Policy'!$A$2:$A$5,0))</f>
        <v>24</v>
      </c>
      <c r="M593" s="2" t="str">
        <f aca="false">IF(K593="","Open",IF(K593&lt;=L593,"Yes","No"))</f>
        <v>Yes</v>
      </c>
    </row>
    <row r="594" customFormat="false" ht="15" hidden="false" customHeight="false" outlineLevel="0" collapsed="false">
      <c r="A594" s="2" t="s">
        <v>628</v>
      </c>
      <c r="B594" s="7" t="n">
        <v>46106.4576388889</v>
      </c>
      <c r="C594" s="7" t="n">
        <v>46108.6666666667</v>
      </c>
      <c r="D594" s="2" t="s">
        <v>22</v>
      </c>
      <c r="E594" s="2" t="s">
        <v>35</v>
      </c>
      <c r="F594" s="2" t="s">
        <v>27</v>
      </c>
      <c r="G594" s="2" t="s">
        <v>25</v>
      </c>
      <c r="H594" s="2" t="n">
        <v>2</v>
      </c>
      <c r="I594" s="2" t="str">
        <f aca="false">IF(C594="","Open","Resolved")</f>
        <v>Resolved</v>
      </c>
      <c r="J594" s="2" t="str">
        <f aca="false">TEXT(B594,"yyyy-mm")</f>
        <v>2026-03</v>
      </c>
      <c r="K594" s="8" t="n">
        <f aca="false">IF(C594="","",ROUND((C594-B594)*24,2))</f>
        <v>53.02</v>
      </c>
      <c r="L594" s="2" t="n">
        <f aca="false">INDEX('SLA Policy'!$B$2:$B$5,MATCH(E594,'SLA Policy'!$A$2:$A$5,0))</f>
        <v>24</v>
      </c>
      <c r="M594" s="2" t="str">
        <f aca="false">IF(K594="","Open",IF(K594&lt;=L594,"Yes","No"))</f>
        <v>No</v>
      </c>
    </row>
    <row r="595" customFormat="false" ht="15" hidden="false" customHeight="false" outlineLevel="0" collapsed="false">
      <c r="A595" s="2" t="s">
        <v>629</v>
      </c>
      <c r="B595" s="7" t="n">
        <v>46106.4583333333</v>
      </c>
      <c r="C595" s="7" t="n">
        <v>46107.1777777778</v>
      </c>
      <c r="D595" s="2" t="s">
        <v>27</v>
      </c>
      <c r="E595" s="2" t="s">
        <v>32</v>
      </c>
      <c r="F595" s="2" t="s">
        <v>27</v>
      </c>
      <c r="G595" s="2" t="s">
        <v>29</v>
      </c>
      <c r="H595" s="2" t="n">
        <v>4</v>
      </c>
      <c r="I595" s="2" t="str">
        <f aca="false">IF(C595="","Open","Resolved")</f>
        <v>Resolved</v>
      </c>
      <c r="J595" s="2" t="str">
        <f aca="false">TEXT(B595,"yyyy-mm")</f>
        <v>2026-03</v>
      </c>
      <c r="K595" s="8" t="n">
        <f aca="false">IF(C595="","",ROUND((C595-B595)*24,2))</f>
        <v>17.27</v>
      </c>
      <c r="L595" s="2" t="n">
        <f aca="false">INDEX('SLA Policy'!$B$2:$B$5,MATCH(E595,'SLA Policy'!$A$2:$A$5,0))</f>
        <v>72</v>
      </c>
      <c r="M595" s="2" t="str">
        <f aca="false">IF(K595="","Open",IF(K595&lt;=L595,"Yes","No"))</f>
        <v>Yes</v>
      </c>
    </row>
    <row r="596" customFormat="false" ht="15" hidden="false" customHeight="false" outlineLevel="0" collapsed="false">
      <c r="A596" s="2" t="s">
        <v>630</v>
      </c>
      <c r="B596" s="7" t="n">
        <v>46106.4618055556</v>
      </c>
      <c r="C596" s="7" t="n">
        <v>46106.9951388889</v>
      </c>
      <c r="D596" s="2" t="s">
        <v>31</v>
      </c>
      <c r="E596" s="2" t="s">
        <v>35</v>
      </c>
      <c r="F596" s="2" t="s">
        <v>38</v>
      </c>
      <c r="G596" s="2" t="s">
        <v>33</v>
      </c>
      <c r="H596" s="2" t="n">
        <v>5</v>
      </c>
      <c r="I596" s="2" t="str">
        <f aca="false">IF(C596="","Open","Resolved")</f>
        <v>Resolved</v>
      </c>
      <c r="J596" s="2" t="str">
        <f aca="false">TEXT(B596,"yyyy-mm")</f>
        <v>2026-03</v>
      </c>
      <c r="K596" s="8" t="n">
        <f aca="false">IF(C596="","",ROUND((C596-B596)*24,2))</f>
        <v>12.8</v>
      </c>
      <c r="L596" s="2" t="n">
        <f aca="false">INDEX('SLA Policy'!$B$2:$B$5,MATCH(E596,'SLA Policy'!$A$2:$A$5,0))</f>
        <v>24</v>
      </c>
      <c r="M596" s="2" t="str">
        <f aca="false">IF(K596="","Open",IF(K596&lt;=L596,"Yes","No"))</f>
        <v>Yes</v>
      </c>
    </row>
    <row r="597" customFormat="false" ht="15" hidden="false" customHeight="false" outlineLevel="0" collapsed="false">
      <c r="A597" s="2" t="s">
        <v>631</v>
      </c>
      <c r="B597" s="7" t="n">
        <v>46106.5006944445</v>
      </c>
      <c r="C597" s="7" t="n">
        <v>46109.1465277778</v>
      </c>
      <c r="D597" s="2" t="s">
        <v>31</v>
      </c>
      <c r="E597" s="2" t="s">
        <v>32</v>
      </c>
      <c r="F597" s="2" t="s">
        <v>27</v>
      </c>
      <c r="G597" s="2" t="s">
        <v>33</v>
      </c>
      <c r="H597" s="2" t="n">
        <v>2</v>
      </c>
      <c r="I597" s="2" t="str">
        <f aca="false">IF(C597="","Open","Resolved")</f>
        <v>Resolved</v>
      </c>
      <c r="J597" s="2" t="str">
        <f aca="false">TEXT(B597,"yyyy-mm")</f>
        <v>2026-03</v>
      </c>
      <c r="K597" s="8" t="n">
        <f aca="false">IF(C597="","",ROUND((C597-B597)*24,2))</f>
        <v>63.5</v>
      </c>
      <c r="L597" s="2" t="n">
        <f aca="false">INDEX('SLA Policy'!$B$2:$B$5,MATCH(E597,'SLA Policy'!$A$2:$A$5,0))</f>
        <v>72</v>
      </c>
      <c r="M597" s="2" t="str">
        <f aca="false">IF(K597="","Open",IF(K597&lt;=L597,"Yes","No"))</f>
        <v>Yes</v>
      </c>
    </row>
    <row r="598" customFormat="false" ht="15" hidden="false" customHeight="false" outlineLevel="0" collapsed="false">
      <c r="A598" s="2" t="s">
        <v>632</v>
      </c>
      <c r="B598" s="7" t="n">
        <v>46106.5125</v>
      </c>
      <c r="C598" s="7" t="n">
        <v>46108.0111111111</v>
      </c>
      <c r="D598" s="2" t="s">
        <v>31</v>
      </c>
      <c r="E598" s="2" t="s">
        <v>35</v>
      </c>
      <c r="F598" s="2" t="s">
        <v>27</v>
      </c>
      <c r="G598" s="2" t="s">
        <v>33</v>
      </c>
      <c r="H598" s="2" t="n">
        <v>4</v>
      </c>
      <c r="I598" s="2" t="str">
        <f aca="false">IF(C598="","Open","Resolved")</f>
        <v>Resolved</v>
      </c>
      <c r="J598" s="2" t="str">
        <f aca="false">TEXT(B598,"yyyy-mm")</f>
        <v>2026-03</v>
      </c>
      <c r="K598" s="8" t="n">
        <f aca="false">IF(C598="","",ROUND((C598-B598)*24,2))</f>
        <v>35.97</v>
      </c>
      <c r="L598" s="2" t="n">
        <f aca="false">INDEX('SLA Policy'!$B$2:$B$5,MATCH(E598,'SLA Policy'!$A$2:$A$5,0))</f>
        <v>24</v>
      </c>
      <c r="M598" s="2" t="str">
        <f aca="false">IF(K598="","Open",IF(K598&lt;=L598,"Yes","No"))</f>
        <v>No</v>
      </c>
    </row>
    <row r="599" customFormat="false" ht="15" hidden="false" customHeight="false" outlineLevel="0" collapsed="false">
      <c r="A599" s="2" t="s">
        <v>633</v>
      </c>
      <c r="B599" s="7" t="n">
        <v>46106.5625</v>
      </c>
      <c r="C599" s="7" t="n">
        <v>46107.0340277778</v>
      </c>
      <c r="D599" s="2" t="s">
        <v>42</v>
      </c>
      <c r="E599" s="2" t="s">
        <v>35</v>
      </c>
      <c r="F599" s="2" t="s">
        <v>27</v>
      </c>
      <c r="G599" s="2" t="s">
        <v>29</v>
      </c>
      <c r="H599" s="2" t="n">
        <v>5</v>
      </c>
      <c r="I599" s="2" t="str">
        <f aca="false">IF(C599="","Open","Resolved")</f>
        <v>Resolved</v>
      </c>
      <c r="J599" s="2" t="str">
        <f aca="false">TEXT(B599,"yyyy-mm")</f>
        <v>2026-03</v>
      </c>
      <c r="K599" s="8" t="n">
        <f aca="false">IF(C599="","",ROUND((C599-B599)*24,2))</f>
        <v>11.32</v>
      </c>
      <c r="L599" s="2" t="n">
        <f aca="false">INDEX('SLA Policy'!$B$2:$B$5,MATCH(E599,'SLA Policy'!$A$2:$A$5,0))</f>
        <v>24</v>
      </c>
      <c r="M599" s="2" t="str">
        <f aca="false">IF(K599="","Open",IF(K599&lt;=L599,"Yes","No"))</f>
        <v>Yes</v>
      </c>
    </row>
    <row r="600" customFormat="false" ht="15" hidden="false" customHeight="false" outlineLevel="0" collapsed="false">
      <c r="A600" s="2" t="s">
        <v>634</v>
      </c>
      <c r="B600" s="7" t="n">
        <v>46106.5652777778</v>
      </c>
      <c r="C600" s="7" t="n">
        <v>46107.2020833333</v>
      </c>
      <c r="D600" s="2" t="s">
        <v>31</v>
      </c>
      <c r="E600" s="2" t="s">
        <v>23</v>
      </c>
      <c r="F600" s="2" t="s">
        <v>28</v>
      </c>
      <c r="G600" s="2" t="s">
        <v>33</v>
      </c>
      <c r="H600" s="2" t="n">
        <v>4</v>
      </c>
      <c r="I600" s="2" t="str">
        <f aca="false">IF(C600="","Open","Resolved")</f>
        <v>Resolved</v>
      </c>
      <c r="J600" s="2" t="str">
        <f aca="false">TEXT(B600,"yyyy-mm")</f>
        <v>2026-03</v>
      </c>
      <c r="K600" s="8" t="n">
        <f aca="false">IF(C600="","",ROUND((C600-B600)*24,2))</f>
        <v>15.28</v>
      </c>
      <c r="L600" s="2" t="n">
        <f aca="false">INDEX('SLA Policy'!$B$2:$B$5,MATCH(E600,'SLA Policy'!$A$2:$A$5,0))</f>
        <v>8</v>
      </c>
      <c r="M600" s="2" t="str">
        <f aca="false">IF(K600="","Open",IF(K600&lt;=L600,"Yes","No"))</f>
        <v>No</v>
      </c>
    </row>
    <row r="601" customFormat="false" ht="15" hidden="false" customHeight="false" outlineLevel="0" collapsed="false">
      <c r="A601" s="2" t="s">
        <v>635</v>
      </c>
      <c r="B601" s="7" t="n">
        <v>46106.6979166667</v>
      </c>
      <c r="C601" s="7" t="n">
        <v>46107.8048611111</v>
      </c>
      <c r="D601" s="2" t="s">
        <v>48</v>
      </c>
      <c r="E601" s="2" t="s">
        <v>35</v>
      </c>
      <c r="F601" s="2" t="s">
        <v>28</v>
      </c>
      <c r="G601" s="2" t="s">
        <v>25</v>
      </c>
      <c r="H601" s="2" t="n">
        <v>4</v>
      </c>
      <c r="I601" s="2" t="str">
        <f aca="false">IF(C601="","Open","Resolved")</f>
        <v>Resolved</v>
      </c>
      <c r="J601" s="2" t="str">
        <f aca="false">TEXT(B601,"yyyy-mm")</f>
        <v>2026-03</v>
      </c>
      <c r="K601" s="8" t="n">
        <f aca="false">IF(C601="","",ROUND((C601-B601)*24,2))</f>
        <v>26.57</v>
      </c>
      <c r="L601" s="2" t="n">
        <f aca="false">INDEX('SLA Policy'!$B$2:$B$5,MATCH(E601,'SLA Policy'!$A$2:$A$5,0))</f>
        <v>24</v>
      </c>
      <c r="M601" s="2" t="str">
        <f aca="false">IF(K601="","Open",IF(K601&lt;=L601,"Yes","No"))</f>
        <v>No</v>
      </c>
    </row>
    <row r="602" customFormat="false" ht="15" hidden="false" customHeight="false" outlineLevel="0" collapsed="false">
      <c r="A602" s="2" t="s">
        <v>636</v>
      </c>
      <c r="B602" s="7" t="n">
        <v>46106.7625</v>
      </c>
      <c r="C602" s="7" t="n">
        <v>46106.9013888889</v>
      </c>
      <c r="D602" s="2" t="s">
        <v>31</v>
      </c>
      <c r="E602" s="2" t="s">
        <v>40</v>
      </c>
      <c r="F602" s="2" t="s">
        <v>27</v>
      </c>
      <c r="G602" s="2" t="s">
        <v>33</v>
      </c>
      <c r="H602" s="2" t="n">
        <v>4</v>
      </c>
      <c r="I602" s="2" t="str">
        <f aca="false">IF(C602="","Open","Resolved")</f>
        <v>Resolved</v>
      </c>
      <c r="J602" s="2" t="str">
        <f aca="false">TEXT(B602,"yyyy-mm")</f>
        <v>2026-03</v>
      </c>
      <c r="K602" s="8" t="n">
        <f aca="false">IF(C602="","",ROUND((C602-B602)*24,2))</f>
        <v>3.33</v>
      </c>
      <c r="L602" s="2" t="n">
        <f aca="false">INDEX('SLA Policy'!$B$2:$B$5,MATCH(E602,'SLA Policy'!$A$2:$A$5,0))</f>
        <v>4</v>
      </c>
      <c r="M602" s="2" t="str">
        <f aca="false">IF(K602="","Open",IF(K602&lt;=L602,"Yes","No"))</f>
        <v>Yes</v>
      </c>
    </row>
    <row r="603" customFormat="false" ht="15" hidden="false" customHeight="false" outlineLevel="0" collapsed="false">
      <c r="A603" s="2" t="s">
        <v>637</v>
      </c>
      <c r="B603" s="7" t="n">
        <v>46107.3368055556</v>
      </c>
      <c r="C603" s="7" t="n">
        <v>46111.4118055556</v>
      </c>
      <c r="D603" s="2" t="s">
        <v>22</v>
      </c>
      <c r="E603" s="2" t="s">
        <v>32</v>
      </c>
      <c r="F603" s="2" t="s">
        <v>27</v>
      </c>
      <c r="G603" s="2" t="s">
        <v>25</v>
      </c>
      <c r="H603" s="2" t="n">
        <v>2</v>
      </c>
      <c r="I603" s="2" t="str">
        <f aca="false">IF(C603="","Open","Resolved")</f>
        <v>Resolved</v>
      </c>
      <c r="J603" s="2" t="str">
        <f aca="false">TEXT(B603,"yyyy-mm")</f>
        <v>2026-03</v>
      </c>
      <c r="K603" s="8" t="n">
        <f aca="false">IF(C603="","",ROUND((C603-B603)*24,2))</f>
        <v>97.8</v>
      </c>
      <c r="L603" s="2" t="n">
        <f aca="false">INDEX('SLA Policy'!$B$2:$B$5,MATCH(E603,'SLA Policy'!$A$2:$A$5,0))</f>
        <v>72</v>
      </c>
      <c r="M603" s="2" t="str">
        <f aca="false">IF(K603="","Open",IF(K603&lt;=L603,"Yes","No"))</f>
        <v>No</v>
      </c>
    </row>
    <row r="604" customFormat="false" ht="15" hidden="false" customHeight="false" outlineLevel="0" collapsed="false">
      <c r="A604" s="2" t="s">
        <v>638</v>
      </c>
      <c r="B604" s="7" t="n">
        <v>46107.4652777778</v>
      </c>
      <c r="C604" s="7" t="n">
        <v>46113.6548611111</v>
      </c>
      <c r="D604" s="2" t="s">
        <v>48</v>
      </c>
      <c r="E604" s="2" t="s">
        <v>32</v>
      </c>
      <c r="F604" s="2" t="s">
        <v>24</v>
      </c>
      <c r="G604" s="2" t="s">
        <v>25</v>
      </c>
      <c r="H604" s="2" t="n">
        <v>1</v>
      </c>
      <c r="I604" s="2" t="str">
        <f aca="false">IF(C604="","Open","Resolved")</f>
        <v>Resolved</v>
      </c>
      <c r="J604" s="2" t="str">
        <f aca="false">TEXT(B604,"yyyy-mm")</f>
        <v>2026-03</v>
      </c>
      <c r="K604" s="8" t="n">
        <f aca="false">IF(C604="","",ROUND((C604-B604)*24,2))</f>
        <v>148.55</v>
      </c>
      <c r="L604" s="2" t="n">
        <f aca="false">INDEX('SLA Policy'!$B$2:$B$5,MATCH(E604,'SLA Policy'!$A$2:$A$5,0))</f>
        <v>72</v>
      </c>
      <c r="M604" s="2" t="str">
        <f aca="false">IF(K604="","Open",IF(K604&lt;=L604,"Yes","No"))</f>
        <v>No</v>
      </c>
    </row>
    <row r="605" customFormat="false" ht="15" hidden="false" customHeight="false" outlineLevel="0" collapsed="false">
      <c r="A605" s="2" t="s">
        <v>639</v>
      </c>
      <c r="B605" s="7" t="n">
        <v>46107.5138888889</v>
      </c>
      <c r="C605" s="7" t="n">
        <v>46107.8451388889</v>
      </c>
      <c r="D605" s="2" t="s">
        <v>42</v>
      </c>
      <c r="E605" s="2" t="s">
        <v>35</v>
      </c>
      <c r="F605" s="2" t="s">
        <v>24</v>
      </c>
      <c r="G605" s="2" t="s">
        <v>29</v>
      </c>
      <c r="H605" s="2" t="n">
        <v>5</v>
      </c>
      <c r="I605" s="2" t="str">
        <f aca="false">IF(C605="","Open","Resolved")</f>
        <v>Resolved</v>
      </c>
      <c r="J605" s="2" t="str">
        <f aca="false">TEXT(B605,"yyyy-mm")</f>
        <v>2026-03</v>
      </c>
      <c r="K605" s="8" t="n">
        <f aca="false">IF(C605="","",ROUND((C605-B605)*24,2))</f>
        <v>7.95</v>
      </c>
      <c r="L605" s="2" t="n">
        <f aca="false">INDEX('SLA Policy'!$B$2:$B$5,MATCH(E605,'SLA Policy'!$A$2:$A$5,0))</f>
        <v>24</v>
      </c>
      <c r="M605" s="2" t="str">
        <f aca="false">IF(K605="","Open",IF(K605&lt;=L605,"Yes","No"))</f>
        <v>Yes</v>
      </c>
    </row>
    <row r="606" customFormat="false" ht="15" hidden="false" customHeight="false" outlineLevel="0" collapsed="false">
      <c r="A606" s="2" t="s">
        <v>640</v>
      </c>
      <c r="B606" s="7" t="n">
        <v>46107.5833333333</v>
      </c>
      <c r="C606" s="7" t="n">
        <v>46108.2236111111</v>
      </c>
      <c r="D606" s="2" t="s">
        <v>31</v>
      </c>
      <c r="E606" s="2" t="s">
        <v>35</v>
      </c>
      <c r="F606" s="2" t="s">
        <v>28</v>
      </c>
      <c r="G606" s="2" t="s">
        <v>33</v>
      </c>
      <c r="H606" s="2" t="n">
        <v>4</v>
      </c>
      <c r="I606" s="2" t="str">
        <f aca="false">IF(C606="","Open","Resolved")</f>
        <v>Resolved</v>
      </c>
      <c r="J606" s="2" t="str">
        <f aca="false">TEXT(B606,"yyyy-mm")</f>
        <v>2026-03</v>
      </c>
      <c r="K606" s="8" t="n">
        <f aca="false">IF(C606="","",ROUND((C606-B606)*24,2))</f>
        <v>15.37</v>
      </c>
      <c r="L606" s="2" t="n">
        <f aca="false">INDEX('SLA Policy'!$B$2:$B$5,MATCH(E606,'SLA Policy'!$A$2:$A$5,0))</f>
        <v>24</v>
      </c>
      <c r="M606" s="2" t="str">
        <f aca="false">IF(K606="","Open",IF(K606&lt;=L606,"Yes","No"))</f>
        <v>Yes</v>
      </c>
    </row>
    <row r="607" customFormat="false" ht="15" hidden="false" customHeight="false" outlineLevel="0" collapsed="false">
      <c r="A607" s="2" t="s">
        <v>641</v>
      </c>
      <c r="B607" s="7" t="n">
        <v>46107.6520833333</v>
      </c>
      <c r="C607" s="7" t="n">
        <v>46108.2194444445</v>
      </c>
      <c r="D607" s="2" t="s">
        <v>48</v>
      </c>
      <c r="E607" s="2" t="s">
        <v>23</v>
      </c>
      <c r="F607" s="2" t="s">
        <v>24</v>
      </c>
      <c r="G607" s="2" t="s">
        <v>25</v>
      </c>
      <c r="H607" s="2" t="n">
        <v>5</v>
      </c>
      <c r="I607" s="2" t="str">
        <f aca="false">IF(C607="","Open","Resolved")</f>
        <v>Resolved</v>
      </c>
      <c r="J607" s="2" t="str">
        <f aca="false">TEXT(B607,"yyyy-mm")</f>
        <v>2026-03</v>
      </c>
      <c r="K607" s="8" t="n">
        <f aca="false">IF(C607="","",ROUND((C607-B607)*24,2))</f>
        <v>13.62</v>
      </c>
      <c r="L607" s="2" t="n">
        <f aca="false">INDEX('SLA Policy'!$B$2:$B$5,MATCH(E607,'SLA Policy'!$A$2:$A$5,0))</f>
        <v>8</v>
      </c>
      <c r="M607" s="2" t="str">
        <f aca="false">IF(K607="","Open",IF(K607&lt;=L607,"Yes","No"))</f>
        <v>No</v>
      </c>
    </row>
    <row r="608" customFormat="false" ht="15" hidden="false" customHeight="false" outlineLevel="0" collapsed="false">
      <c r="A608" s="2" t="s">
        <v>642</v>
      </c>
      <c r="B608" s="7" t="n">
        <v>46107.6916666667</v>
      </c>
      <c r="C608" s="7" t="n">
        <v>46108.1361111111</v>
      </c>
      <c r="D608" s="2" t="s">
        <v>31</v>
      </c>
      <c r="E608" s="2" t="s">
        <v>35</v>
      </c>
      <c r="F608" s="2" t="s">
        <v>24</v>
      </c>
      <c r="G608" s="2" t="s">
        <v>33</v>
      </c>
      <c r="H608" s="2" t="n">
        <v>5</v>
      </c>
      <c r="I608" s="2" t="str">
        <f aca="false">IF(C608="","Open","Resolved")</f>
        <v>Resolved</v>
      </c>
      <c r="J608" s="2" t="str">
        <f aca="false">TEXT(B608,"yyyy-mm")</f>
        <v>2026-03</v>
      </c>
      <c r="K608" s="8" t="n">
        <f aca="false">IF(C608="","",ROUND((C608-B608)*24,2))</f>
        <v>10.67</v>
      </c>
      <c r="L608" s="2" t="n">
        <f aca="false">INDEX('SLA Policy'!$B$2:$B$5,MATCH(E608,'SLA Policy'!$A$2:$A$5,0))</f>
        <v>24</v>
      </c>
      <c r="M608" s="2" t="str">
        <f aca="false">IF(K608="","Open",IF(K608&lt;=L608,"Yes","No"))</f>
        <v>Yes</v>
      </c>
    </row>
    <row r="609" customFormat="false" ht="15" hidden="false" customHeight="false" outlineLevel="0" collapsed="false">
      <c r="A609" s="2" t="s">
        <v>643</v>
      </c>
      <c r="B609" s="7" t="n">
        <v>46107.7</v>
      </c>
      <c r="C609" s="7" t="n">
        <v>46109.6520833333</v>
      </c>
      <c r="D609" s="2" t="s">
        <v>31</v>
      </c>
      <c r="E609" s="2" t="s">
        <v>32</v>
      </c>
      <c r="F609" s="2" t="s">
        <v>24</v>
      </c>
      <c r="G609" s="2" t="s">
        <v>33</v>
      </c>
      <c r="H609" s="2" t="n">
        <v>4</v>
      </c>
      <c r="I609" s="2" t="str">
        <f aca="false">IF(C609="","Open","Resolved")</f>
        <v>Resolved</v>
      </c>
      <c r="J609" s="2" t="str">
        <f aca="false">TEXT(B609,"yyyy-mm")</f>
        <v>2026-03</v>
      </c>
      <c r="K609" s="8" t="n">
        <f aca="false">IF(C609="","",ROUND((C609-B609)*24,2))</f>
        <v>46.85</v>
      </c>
      <c r="L609" s="2" t="n">
        <f aca="false">INDEX('SLA Policy'!$B$2:$B$5,MATCH(E609,'SLA Policy'!$A$2:$A$5,0))</f>
        <v>72</v>
      </c>
      <c r="M609" s="2" t="str">
        <f aca="false">IF(K609="","Open",IF(K609&lt;=L609,"Yes","No"))</f>
        <v>Yes</v>
      </c>
    </row>
    <row r="610" customFormat="false" ht="15" hidden="false" customHeight="false" outlineLevel="0" collapsed="false">
      <c r="A610" s="2" t="s">
        <v>644</v>
      </c>
      <c r="B610" s="7" t="n">
        <v>46107.7180555556</v>
      </c>
      <c r="C610" s="7" t="n">
        <v>46107.8930555556</v>
      </c>
      <c r="D610" s="2" t="s">
        <v>42</v>
      </c>
      <c r="E610" s="2" t="s">
        <v>23</v>
      </c>
      <c r="F610" s="2" t="s">
        <v>24</v>
      </c>
      <c r="G610" s="2" t="s">
        <v>29</v>
      </c>
      <c r="H610" s="2" t="n">
        <v>5</v>
      </c>
      <c r="I610" s="2" t="str">
        <f aca="false">IF(C610="","Open","Resolved")</f>
        <v>Resolved</v>
      </c>
      <c r="J610" s="2" t="str">
        <f aca="false">TEXT(B610,"yyyy-mm")</f>
        <v>2026-03</v>
      </c>
      <c r="K610" s="8" t="n">
        <f aca="false">IF(C610="","",ROUND((C610-B610)*24,2))</f>
        <v>4.2</v>
      </c>
      <c r="L610" s="2" t="n">
        <f aca="false">INDEX('SLA Policy'!$B$2:$B$5,MATCH(E610,'SLA Policy'!$A$2:$A$5,0))</f>
        <v>8</v>
      </c>
      <c r="M610" s="2" t="str">
        <f aca="false">IF(K610="","Open",IF(K610&lt;=L610,"Yes","No"))</f>
        <v>Yes</v>
      </c>
    </row>
    <row r="611" customFormat="false" ht="15" hidden="false" customHeight="false" outlineLevel="0" collapsed="false">
      <c r="A611" s="2" t="s">
        <v>645</v>
      </c>
      <c r="B611" s="7" t="n">
        <v>46107.7333333333</v>
      </c>
      <c r="C611" s="7" t="n">
        <v>46108.1222222222</v>
      </c>
      <c r="D611" s="2" t="s">
        <v>31</v>
      </c>
      <c r="E611" s="2" t="s">
        <v>23</v>
      </c>
      <c r="F611" s="2" t="s">
        <v>27</v>
      </c>
      <c r="G611" s="2" t="s">
        <v>33</v>
      </c>
      <c r="H611" s="2" t="n">
        <v>5</v>
      </c>
      <c r="I611" s="2" t="str">
        <f aca="false">IF(C611="","Open","Resolved")</f>
        <v>Resolved</v>
      </c>
      <c r="J611" s="2" t="str">
        <f aca="false">TEXT(B611,"yyyy-mm")</f>
        <v>2026-03</v>
      </c>
      <c r="K611" s="8" t="n">
        <f aca="false">IF(C611="","",ROUND((C611-B611)*24,2))</f>
        <v>9.33</v>
      </c>
      <c r="L611" s="2" t="n">
        <f aca="false">INDEX('SLA Policy'!$B$2:$B$5,MATCH(E611,'SLA Policy'!$A$2:$A$5,0))</f>
        <v>8</v>
      </c>
      <c r="M611" s="2" t="str">
        <f aca="false">IF(K611="","Open",IF(K611&lt;=L611,"Yes","No"))</f>
        <v>No</v>
      </c>
    </row>
    <row r="612" customFormat="false" ht="15" hidden="false" customHeight="false" outlineLevel="0" collapsed="false">
      <c r="A612" s="2" t="s">
        <v>646</v>
      </c>
      <c r="B612" s="7" t="n">
        <v>46107.7611111111</v>
      </c>
      <c r="C612" s="7" t="n">
        <v>46108.6611111111</v>
      </c>
      <c r="D612" s="2" t="s">
        <v>31</v>
      </c>
      <c r="E612" s="2" t="s">
        <v>32</v>
      </c>
      <c r="F612" s="2" t="s">
        <v>38</v>
      </c>
      <c r="G612" s="2" t="s">
        <v>33</v>
      </c>
      <c r="H612" s="2" t="n">
        <v>5</v>
      </c>
      <c r="I612" s="2" t="str">
        <f aca="false">IF(C612="","Open","Resolved")</f>
        <v>Resolved</v>
      </c>
      <c r="J612" s="2" t="str">
        <f aca="false">TEXT(B612,"yyyy-mm")</f>
        <v>2026-03</v>
      </c>
      <c r="K612" s="8" t="n">
        <f aca="false">IF(C612="","",ROUND((C612-B612)*24,2))</f>
        <v>21.6</v>
      </c>
      <c r="L612" s="2" t="n">
        <f aca="false">INDEX('SLA Policy'!$B$2:$B$5,MATCH(E612,'SLA Policy'!$A$2:$A$5,0))</f>
        <v>72</v>
      </c>
      <c r="M612" s="2" t="str">
        <f aca="false">IF(K612="","Open",IF(K612&lt;=L612,"Yes","No"))</f>
        <v>Yes</v>
      </c>
    </row>
    <row r="613" customFormat="false" ht="15" hidden="false" customHeight="false" outlineLevel="0" collapsed="false">
      <c r="A613" s="2" t="s">
        <v>647</v>
      </c>
      <c r="B613" s="7" t="n">
        <v>46108.3041666667</v>
      </c>
      <c r="C613" s="7" t="n">
        <v>46108.7736111111</v>
      </c>
      <c r="D613" s="2" t="s">
        <v>31</v>
      </c>
      <c r="E613" s="2" t="s">
        <v>35</v>
      </c>
      <c r="F613" s="2" t="s">
        <v>28</v>
      </c>
      <c r="G613" s="2" t="s">
        <v>33</v>
      </c>
      <c r="H613" s="2" t="n">
        <v>3</v>
      </c>
      <c r="I613" s="2" t="str">
        <f aca="false">IF(C613="","Open","Resolved")</f>
        <v>Resolved</v>
      </c>
      <c r="J613" s="2" t="str">
        <f aca="false">TEXT(B613,"yyyy-mm")</f>
        <v>2026-03</v>
      </c>
      <c r="K613" s="8" t="n">
        <f aca="false">IF(C613="","",ROUND((C613-B613)*24,2))</f>
        <v>11.27</v>
      </c>
      <c r="L613" s="2" t="n">
        <f aca="false">INDEX('SLA Policy'!$B$2:$B$5,MATCH(E613,'SLA Policy'!$A$2:$A$5,0))</f>
        <v>24</v>
      </c>
      <c r="M613" s="2" t="str">
        <f aca="false">IF(K613="","Open",IF(K613&lt;=L613,"Yes","No"))</f>
        <v>Yes</v>
      </c>
    </row>
    <row r="614" customFormat="false" ht="15" hidden="false" customHeight="false" outlineLevel="0" collapsed="false">
      <c r="A614" s="2" t="s">
        <v>648</v>
      </c>
      <c r="B614" s="7" t="n">
        <v>46108.3201388889</v>
      </c>
      <c r="C614" s="7" t="n">
        <v>46108.9298611111</v>
      </c>
      <c r="D614" s="2" t="s">
        <v>22</v>
      </c>
      <c r="E614" s="2" t="s">
        <v>23</v>
      </c>
      <c r="F614" s="2" t="s">
        <v>24</v>
      </c>
      <c r="G614" s="2" t="s">
        <v>25</v>
      </c>
      <c r="H614" s="2" t="n">
        <v>4</v>
      </c>
      <c r="I614" s="2" t="str">
        <f aca="false">IF(C614="","Open","Resolved")</f>
        <v>Resolved</v>
      </c>
      <c r="J614" s="2" t="str">
        <f aca="false">TEXT(B614,"yyyy-mm")</f>
        <v>2026-03</v>
      </c>
      <c r="K614" s="8" t="n">
        <f aca="false">IF(C614="","",ROUND((C614-B614)*24,2))</f>
        <v>14.63</v>
      </c>
      <c r="L614" s="2" t="n">
        <f aca="false">INDEX('SLA Policy'!$B$2:$B$5,MATCH(E614,'SLA Policy'!$A$2:$A$5,0))</f>
        <v>8</v>
      </c>
      <c r="M614" s="2" t="str">
        <f aca="false">IF(K614="","Open",IF(K614&lt;=L614,"Yes","No"))</f>
        <v>No</v>
      </c>
    </row>
    <row r="615" customFormat="false" ht="15" hidden="false" customHeight="false" outlineLevel="0" collapsed="false">
      <c r="A615" s="2" t="s">
        <v>649</v>
      </c>
      <c r="B615" s="7" t="n">
        <v>46108.3791666667</v>
      </c>
      <c r="C615" s="7" t="n">
        <v>46108.7909722222</v>
      </c>
      <c r="D615" s="2" t="s">
        <v>31</v>
      </c>
      <c r="E615" s="2" t="s">
        <v>35</v>
      </c>
      <c r="F615" s="2" t="s">
        <v>28</v>
      </c>
      <c r="G615" s="2" t="s">
        <v>33</v>
      </c>
      <c r="H615" s="2" t="n">
        <v>3</v>
      </c>
      <c r="I615" s="2" t="str">
        <f aca="false">IF(C615="","Open","Resolved")</f>
        <v>Resolved</v>
      </c>
      <c r="J615" s="2" t="str">
        <f aca="false">TEXT(B615,"yyyy-mm")</f>
        <v>2026-03</v>
      </c>
      <c r="K615" s="8" t="n">
        <f aca="false">IF(C615="","",ROUND((C615-B615)*24,2))</f>
        <v>9.88</v>
      </c>
      <c r="L615" s="2" t="n">
        <f aca="false">INDEX('SLA Policy'!$B$2:$B$5,MATCH(E615,'SLA Policy'!$A$2:$A$5,0))</f>
        <v>24</v>
      </c>
      <c r="M615" s="2" t="str">
        <f aca="false">IF(K615="","Open",IF(K615&lt;=L615,"Yes","No"))</f>
        <v>Yes</v>
      </c>
    </row>
    <row r="616" customFormat="false" ht="15" hidden="false" customHeight="false" outlineLevel="0" collapsed="false">
      <c r="A616" s="2" t="s">
        <v>650</v>
      </c>
      <c r="B616" s="7" t="n">
        <v>46108.3861111111</v>
      </c>
      <c r="C616" s="7" t="n">
        <v>46109.2652777778</v>
      </c>
      <c r="D616" s="2" t="s">
        <v>31</v>
      </c>
      <c r="E616" s="2" t="s">
        <v>35</v>
      </c>
      <c r="F616" s="2" t="s">
        <v>27</v>
      </c>
      <c r="G616" s="2" t="s">
        <v>33</v>
      </c>
      <c r="H616" s="2" t="n">
        <v>3</v>
      </c>
      <c r="I616" s="2" t="str">
        <f aca="false">IF(C616="","Open","Resolved")</f>
        <v>Resolved</v>
      </c>
      <c r="J616" s="2" t="str">
        <f aca="false">TEXT(B616,"yyyy-mm")</f>
        <v>2026-03</v>
      </c>
      <c r="K616" s="8" t="n">
        <f aca="false">IF(C616="","",ROUND((C616-B616)*24,2))</f>
        <v>21.1</v>
      </c>
      <c r="L616" s="2" t="n">
        <f aca="false">INDEX('SLA Policy'!$B$2:$B$5,MATCH(E616,'SLA Policy'!$A$2:$A$5,0))</f>
        <v>24</v>
      </c>
      <c r="M616" s="2" t="str">
        <f aca="false">IF(K616="","Open",IF(K616&lt;=L616,"Yes","No"))</f>
        <v>Yes</v>
      </c>
    </row>
    <row r="617" customFormat="false" ht="15" hidden="false" customHeight="false" outlineLevel="0" collapsed="false">
      <c r="A617" s="2" t="s">
        <v>651</v>
      </c>
      <c r="B617" s="7" t="n">
        <v>46108.3888888889</v>
      </c>
      <c r="C617" s="7" t="n">
        <v>46108.7951388889</v>
      </c>
      <c r="D617" s="2" t="s">
        <v>31</v>
      </c>
      <c r="E617" s="2" t="s">
        <v>23</v>
      </c>
      <c r="F617" s="2" t="s">
        <v>24</v>
      </c>
      <c r="G617" s="2" t="s">
        <v>33</v>
      </c>
      <c r="H617" s="2" t="n">
        <v>4</v>
      </c>
      <c r="I617" s="2" t="str">
        <f aca="false">IF(C617="","Open","Resolved")</f>
        <v>Resolved</v>
      </c>
      <c r="J617" s="2" t="str">
        <f aca="false">TEXT(B617,"yyyy-mm")</f>
        <v>2026-03</v>
      </c>
      <c r="K617" s="8" t="n">
        <f aca="false">IF(C617="","",ROUND((C617-B617)*24,2))</f>
        <v>9.75</v>
      </c>
      <c r="L617" s="2" t="n">
        <f aca="false">INDEX('SLA Policy'!$B$2:$B$5,MATCH(E617,'SLA Policy'!$A$2:$A$5,0))</f>
        <v>8</v>
      </c>
      <c r="M617" s="2" t="str">
        <f aca="false">IF(K617="","Open",IF(K617&lt;=L617,"Yes","No"))</f>
        <v>No</v>
      </c>
    </row>
    <row r="618" customFormat="false" ht="15" hidden="false" customHeight="false" outlineLevel="0" collapsed="false">
      <c r="A618" s="2" t="s">
        <v>652</v>
      </c>
      <c r="B618" s="7" t="n">
        <v>46108.4854166667</v>
      </c>
      <c r="C618" s="7" t="n">
        <v>46111.4583333333</v>
      </c>
      <c r="D618" s="2" t="s">
        <v>22</v>
      </c>
      <c r="E618" s="2" t="s">
        <v>32</v>
      </c>
      <c r="F618" s="2" t="s">
        <v>27</v>
      </c>
      <c r="G618" s="2" t="s">
        <v>25</v>
      </c>
      <c r="H618" s="2" t="n">
        <v>2</v>
      </c>
      <c r="I618" s="2" t="str">
        <f aca="false">IF(C618="","Open","Resolved")</f>
        <v>Resolved</v>
      </c>
      <c r="J618" s="2" t="str">
        <f aca="false">TEXT(B618,"yyyy-mm")</f>
        <v>2026-03</v>
      </c>
      <c r="K618" s="8" t="n">
        <f aca="false">IF(C618="","",ROUND((C618-B618)*24,2))</f>
        <v>71.35</v>
      </c>
      <c r="L618" s="2" t="n">
        <f aca="false">INDEX('SLA Policy'!$B$2:$B$5,MATCH(E618,'SLA Policy'!$A$2:$A$5,0))</f>
        <v>72</v>
      </c>
      <c r="M618" s="2" t="str">
        <f aca="false">IF(K618="","Open",IF(K618&lt;=L618,"Yes","No"))</f>
        <v>Yes</v>
      </c>
    </row>
    <row r="619" customFormat="false" ht="15" hidden="false" customHeight="false" outlineLevel="0" collapsed="false">
      <c r="A619" s="2" t="s">
        <v>653</v>
      </c>
      <c r="B619" s="7" t="n">
        <v>46108.5104166667</v>
      </c>
      <c r="C619" s="7" t="n">
        <v>46112.6666666667</v>
      </c>
      <c r="D619" s="2" t="s">
        <v>22</v>
      </c>
      <c r="E619" s="2" t="s">
        <v>35</v>
      </c>
      <c r="F619" s="2" t="s">
        <v>38</v>
      </c>
      <c r="G619" s="2" t="s">
        <v>25</v>
      </c>
      <c r="H619" s="2" t="n">
        <v>1</v>
      </c>
      <c r="I619" s="2" t="str">
        <f aca="false">IF(C619="","Open","Resolved")</f>
        <v>Resolved</v>
      </c>
      <c r="J619" s="2" t="str">
        <f aca="false">TEXT(B619,"yyyy-mm")</f>
        <v>2026-03</v>
      </c>
      <c r="K619" s="8" t="n">
        <f aca="false">IF(C619="","",ROUND((C619-B619)*24,2))</f>
        <v>99.75</v>
      </c>
      <c r="L619" s="2" t="n">
        <f aca="false">INDEX('SLA Policy'!$B$2:$B$5,MATCH(E619,'SLA Policy'!$A$2:$A$5,0))</f>
        <v>24</v>
      </c>
      <c r="M619" s="2" t="str">
        <f aca="false">IF(K619="","Open",IF(K619&lt;=L619,"Yes","No"))</f>
        <v>No</v>
      </c>
    </row>
    <row r="620" customFormat="false" ht="15" hidden="false" customHeight="false" outlineLevel="0" collapsed="false">
      <c r="A620" s="2" t="s">
        <v>654</v>
      </c>
      <c r="B620" s="7" t="n">
        <v>46108.6104166667</v>
      </c>
      <c r="C620" s="7" t="n">
        <v>46110.2576388889</v>
      </c>
      <c r="D620" s="2" t="s">
        <v>22</v>
      </c>
      <c r="E620" s="2" t="s">
        <v>35</v>
      </c>
      <c r="F620" s="2" t="s">
        <v>38</v>
      </c>
      <c r="G620" s="2" t="s">
        <v>25</v>
      </c>
      <c r="H620" s="2" t="n">
        <v>3</v>
      </c>
      <c r="I620" s="2" t="str">
        <f aca="false">IF(C620="","Open","Resolved")</f>
        <v>Resolved</v>
      </c>
      <c r="J620" s="2" t="str">
        <f aca="false">TEXT(B620,"yyyy-mm")</f>
        <v>2026-03</v>
      </c>
      <c r="K620" s="8" t="n">
        <f aca="false">IF(C620="","",ROUND((C620-B620)*24,2))</f>
        <v>39.53</v>
      </c>
      <c r="L620" s="2" t="n">
        <f aca="false">INDEX('SLA Policy'!$B$2:$B$5,MATCH(E620,'SLA Policy'!$A$2:$A$5,0))</f>
        <v>24</v>
      </c>
      <c r="M620" s="2" t="str">
        <f aca="false">IF(K620="","Open",IF(K620&lt;=L620,"Yes","No"))</f>
        <v>No</v>
      </c>
    </row>
    <row r="621" customFormat="false" ht="15" hidden="false" customHeight="false" outlineLevel="0" collapsed="false">
      <c r="A621" s="2" t="s">
        <v>655</v>
      </c>
      <c r="B621" s="7" t="n">
        <v>46108.6743055556</v>
      </c>
      <c r="C621" s="7" t="n">
        <v>46109.6</v>
      </c>
      <c r="D621" s="2" t="s">
        <v>31</v>
      </c>
      <c r="E621" s="2" t="s">
        <v>35</v>
      </c>
      <c r="F621" s="2" t="s">
        <v>27</v>
      </c>
      <c r="G621" s="2" t="s">
        <v>33</v>
      </c>
      <c r="H621" s="2" t="n">
        <v>4</v>
      </c>
      <c r="I621" s="2" t="str">
        <f aca="false">IF(C621="","Open","Resolved")</f>
        <v>Resolved</v>
      </c>
      <c r="J621" s="2" t="str">
        <f aca="false">TEXT(B621,"yyyy-mm")</f>
        <v>2026-03</v>
      </c>
      <c r="K621" s="8" t="n">
        <f aca="false">IF(C621="","",ROUND((C621-B621)*24,2))</f>
        <v>22.22</v>
      </c>
      <c r="L621" s="2" t="n">
        <f aca="false">INDEX('SLA Policy'!$B$2:$B$5,MATCH(E621,'SLA Policy'!$A$2:$A$5,0))</f>
        <v>24</v>
      </c>
      <c r="M621" s="2" t="str">
        <f aca="false">IF(K621="","Open",IF(K621&lt;=L621,"Yes","No"))</f>
        <v>Yes</v>
      </c>
    </row>
    <row r="622" customFormat="false" ht="15" hidden="false" customHeight="false" outlineLevel="0" collapsed="false">
      <c r="A622" s="2" t="s">
        <v>656</v>
      </c>
      <c r="B622" s="7" t="n">
        <v>46108.6819444444</v>
      </c>
      <c r="C622" s="7" t="n">
        <v>46108.8680555556</v>
      </c>
      <c r="D622" s="2" t="s">
        <v>42</v>
      </c>
      <c r="E622" s="2" t="s">
        <v>35</v>
      </c>
      <c r="F622" s="2" t="s">
        <v>27</v>
      </c>
      <c r="G622" s="2" t="s">
        <v>29</v>
      </c>
      <c r="H622" s="2" t="n">
        <v>4</v>
      </c>
      <c r="I622" s="2" t="str">
        <f aca="false">IF(C622="","Open","Resolved")</f>
        <v>Resolved</v>
      </c>
      <c r="J622" s="2" t="str">
        <f aca="false">TEXT(B622,"yyyy-mm")</f>
        <v>2026-03</v>
      </c>
      <c r="K622" s="8" t="n">
        <f aca="false">IF(C622="","",ROUND((C622-B622)*24,2))</f>
        <v>4.47</v>
      </c>
      <c r="L622" s="2" t="n">
        <f aca="false">INDEX('SLA Policy'!$B$2:$B$5,MATCH(E622,'SLA Policy'!$A$2:$A$5,0))</f>
        <v>24</v>
      </c>
      <c r="M622" s="2" t="str">
        <f aca="false">IF(K622="","Open",IF(K622&lt;=L622,"Yes","No"))</f>
        <v>Yes</v>
      </c>
    </row>
    <row r="623" customFormat="false" ht="15" hidden="false" customHeight="false" outlineLevel="0" collapsed="false">
      <c r="A623" s="2" t="s">
        <v>657</v>
      </c>
      <c r="B623" s="7" t="n">
        <v>46108.7027777778</v>
      </c>
      <c r="C623" s="7" t="n">
        <v>46109.1388888889</v>
      </c>
      <c r="D623" s="2" t="s">
        <v>27</v>
      </c>
      <c r="E623" s="2" t="s">
        <v>32</v>
      </c>
      <c r="F623" s="2" t="s">
        <v>24</v>
      </c>
      <c r="G623" s="2" t="s">
        <v>29</v>
      </c>
      <c r="H623" s="2" t="n">
        <v>5</v>
      </c>
      <c r="I623" s="2" t="str">
        <f aca="false">IF(C623="","Open","Resolved")</f>
        <v>Resolved</v>
      </c>
      <c r="J623" s="2" t="str">
        <f aca="false">TEXT(B623,"yyyy-mm")</f>
        <v>2026-03</v>
      </c>
      <c r="K623" s="8" t="n">
        <f aca="false">IF(C623="","",ROUND((C623-B623)*24,2))</f>
        <v>10.47</v>
      </c>
      <c r="L623" s="2" t="n">
        <f aca="false">INDEX('SLA Policy'!$B$2:$B$5,MATCH(E623,'SLA Policy'!$A$2:$A$5,0))</f>
        <v>72</v>
      </c>
      <c r="M623" s="2" t="str">
        <f aca="false">IF(K623="","Open",IF(K623&lt;=L623,"Yes","No"))</f>
        <v>Yes</v>
      </c>
    </row>
    <row r="624" customFormat="false" ht="15" hidden="false" customHeight="false" outlineLevel="0" collapsed="false">
      <c r="A624" s="2" t="s">
        <v>658</v>
      </c>
      <c r="B624" s="7" t="n">
        <v>46108.7083333333</v>
      </c>
      <c r="C624" s="7" t="n">
        <v>46109.3048611111</v>
      </c>
      <c r="D624" s="2" t="s">
        <v>42</v>
      </c>
      <c r="E624" s="2" t="s">
        <v>35</v>
      </c>
      <c r="F624" s="2" t="s">
        <v>27</v>
      </c>
      <c r="G624" s="2" t="s">
        <v>29</v>
      </c>
      <c r="H624" s="2" t="n">
        <v>4</v>
      </c>
      <c r="I624" s="2" t="str">
        <f aca="false">IF(C624="","Open","Resolved")</f>
        <v>Resolved</v>
      </c>
      <c r="J624" s="2" t="str">
        <f aca="false">TEXT(B624,"yyyy-mm")</f>
        <v>2026-03</v>
      </c>
      <c r="K624" s="8" t="n">
        <f aca="false">IF(C624="","",ROUND((C624-B624)*24,2))</f>
        <v>14.32</v>
      </c>
      <c r="L624" s="2" t="n">
        <f aca="false">INDEX('SLA Policy'!$B$2:$B$5,MATCH(E624,'SLA Policy'!$A$2:$A$5,0))</f>
        <v>24</v>
      </c>
      <c r="M624" s="2" t="str">
        <f aca="false">IF(K624="","Open",IF(K624&lt;=L624,"Yes","No"))</f>
        <v>Yes</v>
      </c>
    </row>
    <row r="625" customFormat="false" ht="15" hidden="false" customHeight="false" outlineLevel="0" collapsed="false">
      <c r="A625" s="2" t="s">
        <v>659</v>
      </c>
      <c r="B625" s="7" t="n">
        <v>46108.7631944444</v>
      </c>
      <c r="C625" s="7" t="n">
        <v>46109.1513888889</v>
      </c>
      <c r="D625" s="2" t="s">
        <v>48</v>
      </c>
      <c r="E625" s="2" t="s">
        <v>23</v>
      </c>
      <c r="F625" s="2" t="s">
        <v>38</v>
      </c>
      <c r="G625" s="2" t="s">
        <v>25</v>
      </c>
      <c r="H625" s="2" t="n">
        <v>5</v>
      </c>
      <c r="I625" s="2" t="str">
        <f aca="false">IF(C625="","Open","Resolved")</f>
        <v>Resolved</v>
      </c>
      <c r="J625" s="2" t="str">
        <f aca="false">TEXT(B625,"yyyy-mm")</f>
        <v>2026-03</v>
      </c>
      <c r="K625" s="8" t="n">
        <f aca="false">IF(C625="","",ROUND((C625-B625)*24,2))</f>
        <v>9.32</v>
      </c>
      <c r="L625" s="2" t="n">
        <f aca="false">INDEX('SLA Policy'!$B$2:$B$5,MATCH(E625,'SLA Policy'!$A$2:$A$5,0))</f>
        <v>8</v>
      </c>
      <c r="M625" s="2" t="str">
        <f aca="false">IF(K625="","Open",IF(K625&lt;=L625,"Yes","No"))</f>
        <v>No</v>
      </c>
    </row>
    <row r="626" customFormat="false" ht="15" hidden="false" customHeight="false" outlineLevel="0" collapsed="false">
      <c r="A626" s="2" t="s">
        <v>660</v>
      </c>
      <c r="B626" s="7" t="n">
        <v>46109.4208333333</v>
      </c>
      <c r="C626" s="7" t="n">
        <v>46110.2465277778</v>
      </c>
      <c r="D626" s="2" t="s">
        <v>22</v>
      </c>
      <c r="E626" s="2" t="s">
        <v>35</v>
      </c>
      <c r="F626" s="2" t="s">
        <v>24</v>
      </c>
      <c r="G626" s="2" t="s">
        <v>25</v>
      </c>
      <c r="H626" s="2" t="n">
        <v>4</v>
      </c>
      <c r="I626" s="2" t="str">
        <f aca="false">IF(C626="","Open","Resolved")</f>
        <v>Resolved</v>
      </c>
      <c r="J626" s="2" t="str">
        <f aca="false">TEXT(B626,"yyyy-mm")</f>
        <v>2026-03</v>
      </c>
      <c r="K626" s="8" t="n">
        <f aca="false">IF(C626="","",ROUND((C626-B626)*24,2))</f>
        <v>19.82</v>
      </c>
      <c r="L626" s="2" t="n">
        <f aca="false">INDEX('SLA Policy'!$B$2:$B$5,MATCH(E626,'SLA Policy'!$A$2:$A$5,0))</f>
        <v>24</v>
      </c>
      <c r="M626" s="2" t="str">
        <f aca="false">IF(K626="","Open",IF(K626&lt;=L626,"Yes","No"))</f>
        <v>Yes</v>
      </c>
    </row>
    <row r="627" customFormat="false" ht="15" hidden="false" customHeight="false" outlineLevel="0" collapsed="false">
      <c r="A627" s="2" t="s">
        <v>661</v>
      </c>
      <c r="B627" s="7" t="n">
        <v>46109.7361111111</v>
      </c>
      <c r="C627" s="7" t="n">
        <v>46111.0340277778</v>
      </c>
      <c r="D627" s="2" t="s">
        <v>27</v>
      </c>
      <c r="E627" s="2" t="s">
        <v>32</v>
      </c>
      <c r="F627" s="2" t="s">
        <v>24</v>
      </c>
      <c r="G627" s="2" t="s">
        <v>29</v>
      </c>
      <c r="H627" s="2" t="n">
        <v>3</v>
      </c>
      <c r="I627" s="2" t="str">
        <f aca="false">IF(C627="","Open","Resolved")</f>
        <v>Resolved</v>
      </c>
      <c r="J627" s="2" t="str">
        <f aca="false">TEXT(B627,"yyyy-mm")</f>
        <v>2026-03</v>
      </c>
      <c r="K627" s="8" t="n">
        <f aca="false">IF(C627="","",ROUND((C627-B627)*24,2))</f>
        <v>31.15</v>
      </c>
      <c r="L627" s="2" t="n">
        <f aca="false">INDEX('SLA Policy'!$B$2:$B$5,MATCH(E627,'SLA Policy'!$A$2:$A$5,0))</f>
        <v>72</v>
      </c>
      <c r="M627" s="2" t="str">
        <f aca="false">IF(K627="","Open",IF(K627&lt;=L627,"Yes","No"))</f>
        <v>Yes</v>
      </c>
    </row>
    <row r="628" customFormat="false" ht="15" hidden="false" customHeight="false" outlineLevel="0" collapsed="false">
      <c r="A628" s="2" t="s">
        <v>662</v>
      </c>
      <c r="B628" s="7" t="n">
        <v>46109.74375</v>
      </c>
      <c r="C628" s="7" t="n">
        <v>46110.5583333333</v>
      </c>
      <c r="D628" s="2" t="s">
        <v>48</v>
      </c>
      <c r="E628" s="2" t="s">
        <v>35</v>
      </c>
      <c r="F628" s="2" t="s">
        <v>24</v>
      </c>
      <c r="G628" s="2" t="s">
        <v>25</v>
      </c>
      <c r="H628" s="2" t="n">
        <v>4</v>
      </c>
      <c r="I628" s="2" t="str">
        <f aca="false">IF(C628="","Open","Resolved")</f>
        <v>Resolved</v>
      </c>
      <c r="J628" s="2" t="str">
        <f aca="false">TEXT(B628,"yyyy-mm")</f>
        <v>2026-03</v>
      </c>
      <c r="K628" s="8" t="n">
        <f aca="false">IF(C628="","",ROUND((C628-B628)*24,2))</f>
        <v>19.55</v>
      </c>
      <c r="L628" s="2" t="n">
        <f aca="false">INDEX('SLA Policy'!$B$2:$B$5,MATCH(E628,'SLA Policy'!$A$2:$A$5,0))</f>
        <v>24</v>
      </c>
      <c r="M628" s="2" t="str">
        <f aca="false">IF(K628="","Open",IF(K628&lt;=L628,"Yes","No"))</f>
        <v>Yes</v>
      </c>
    </row>
    <row r="629" customFormat="false" ht="15" hidden="false" customHeight="false" outlineLevel="0" collapsed="false">
      <c r="A629" s="2" t="s">
        <v>663</v>
      </c>
      <c r="B629" s="7" t="n">
        <v>46110.5861111111</v>
      </c>
      <c r="C629" s="7" t="n">
        <v>46110.7590277778</v>
      </c>
      <c r="D629" s="2" t="s">
        <v>31</v>
      </c>
      <c r="E629" s="2" t="s">
        <v>40</v>
      </c>
      <c r="F629" s="2" t="s">
        <v>24</v>
      </c>
      <c r="G629" s="2" t="s">
        <v>33</v>
      </c>
      <c r="H629" s="2" t="n">
        <v>5</v>
      </c>
      <c r="I629" s="2" t="str">
        <f aca="false">IF(C629="","Open","Resolved")</f>
        <v>Resolved</v>
      </c>
      <c r="J629" s="2" t="str">
        <f aca="false">TEXT(B629,"yyyy-mm")</f>
        <v>2026-03</v>
      </c>
      <c r="K629" s="8" t="n">
        <f aca="false">IF(C629="","",ROUND((C629-B629)*24,2))</f>
        <v>4.15</v>
      </c>
      <c r="L629" s="2" t="n">
        <f aca="false">INDEX('SLA Policy'!$B$2:$B$5,MATCH(E629,'SLA Policy'!$A$2:$A$5,0))</f>
        <v>4</v>
      </c>
      <c r="M629" s="2" t="str">
        <f aca="false">IF(K629="","Open",IF(K629&lt;=L629,"Yes","No"))</f>
        <v>No</v>
      </c>
    </row>
    <row r="630" customFormat="false" ht="15" hidden="false" customHeight="false" outlineLevel="0" collapsed="false">
      <c r="A630" s="2" t="s">
        <v>664</v>
      </c>
      <c r="B630" s="7" t="n">
        <v>46110.6243055556</v>
      </c>
      <c r="C630" s="7" t="n">
        <v>46113.2833333333</v>
      </c>
      <c r="D630" s="2" t="s">
        <v>22</v>
      </c>
      <c r="E630" s="2" t="s">
        <v>32</v>
      </c>
      <c r="F630" s="2" t="s">
        <v>27</v>
      </c>
      <c r="G630" s="2" t="s">
        <v>25</v>
      </c>
      <c r="H630" s="2" t="n">
        <v>2</v>
      </c>
      <c r="I630" s="2" t="str">
        <f aca="false">IF(C630="","Open","Resolved")</f>
        <v>Resolved</v>
      </c>
      <c r="J630" s="2" t="str">
        <f aca="false">TEXT(B630,"yyyy-mm")</f>
        <v>2026-03</v>
      </c>
      <c r="K630" s="8" t="n">
        <f aca="false">IF(C630="","",ROUND((C630-B630)*24,2))</f>
        <v>63.82</v>
      </c>
      <c r="L630" s="2" t="n">
        <f aca="false">INDEX('SLA Policy'!$B$2:$B$5,MATCH(E630,'SLA Policy'!$A$2:$A$5,0))</f>
        <v>72</v>
      </c>
      <c r="M630" s="2" t="str">
        <f aca="false">IF(K630="","Open",IF(K630&lt;=L630,"Yes","No"))</f>
        <v>Yes</v>
      </c>
    </row>
    <row r="631" customFormat="false" ht="15" hidden="false" customHeight="false" outlineLevel="0" collapsed="false">
      <c r="A631" s="2" t="s">
        <v>665</v>
      </c>
      <c r="B631" s="7" t="n">
        <v>46110.6805555556</v>
      </c>
      <c r="C631" s="7" t="n">
        <v>46110.8166666667</v>
      </c>
      <c r="D631" s="2" t="s">
        <v>22</v>
      </c>
      <c r="E631" s="2" t="s">
        <v>40</v>
      </c>
      <c r="F631" s="2" t="s">
        <v>28</v>
      </c>
      <c r="G631" s="2" t="s">
        <v>25</v>
      </c>
      <c r="H631" s="2" t="n">
        <v>5</v>
      </c>
      <c r="I631" s="2" t="str">
        <f aca="false">IF(C631="","Open","Resolved")</f>
        <v>Resolved</v>
      </c>
      <c r="J631" s="2" t="str">
        <f aca="false">TEXT(B631,"yyyy-mm")</f>
        <v>2026-03</v>
      </c>
      <c r="K631" s="8" t="n">
        <f aca="false">IF(C631="","",ROUND((C631-B631)*24,2))</f>
        <v>3.27</v>
      </c>
      <c r="L631" s="2" t="n">
        <f aca="false">INDEX('SLA Policy'!$B$2:$B$5,MATCH(E631,'SLA Policy'!$A$2:$A$5,0))</f>
        <v>4</v>
      </c>
      <c r="M631" s="2" t="str">
        <f aca="false">IF(K631="","Open",IF(K631&lt;=L631,"Yes","No"))</f>
        <v>Yes</v>
      </c>
    </row>
    <row r="632" customFormat="false" ht="15" hidden="false" customHeight="false" outlineLevel="0" collapsed="false">
      <c r="A632" s="2" t="s">
        <v>666</v>
      </c>
      <c r="B632" s="7" t="n">
        <v>46110.7472222222</v>
      </c>
      <c r="C632" s="7" t="n">
        <v>46110.7798611111</v>
      </c>
      <c r="D632" s="2" t="s">
        <v>42</v>
      </c>
      <c r="E632" s="2" t="s">
        <v>40</v>
      </c>
      <c r="F632" s="2" t="s">
        <v>38</v>
      </c>
      <c r="G632" s="2" t="s">
        <v>29</v>
      </c>
      <c r="H632" s="2" t="n">
        <v>3</v>
      </c>
      <c r="I632" s="2" t="str">
        <f aca="false">IF(C632="","Open","Resolved")</f>
        <v>Resolved</v>
      </c>
      <c r="J632" s="2" t="str">
        <f aca="false">TEXT(B632,"yyyy-mm")</f>
        <v>2026-03</v>
      </c>
      <c r="K632" s="8" t="n">
        <f aca="false">IF(C632="","",ROUND((C632-B632)*24,2))</f>
        <v>0.78</v>
      </c>
      <c r="L632" s="2" t="n">
        <f aca="false">INDEX('SLA Policy'!$B$2:$B$5,MATCH(E632,'SLA Policy'!$A$2:$A$5,0))</f>
        <v>4</v>
      </c>
      <c r="M632" s="2" t="str">
        <f aca="false">IF(K632="","Open",IF(K632&lt;=L632,"Yes","No"))</f>
        <v>Yes</v>
      </c>
    </row>
    <row r="633" customFormat="false" ht="15" hidden="false" customHeight="false" outlineLevel="0" collapsed="false">
      <c r="A633" s="2" t="s">
        <v>667</v>
      </c>
      <c r="B633" s="7" t="n">
        <v>46111.2979166667</v>
      </c>
      <c r="C633" s="7" t="n">
        <v>46112.3666666667</v>
      </c>
      <c r="D633" s="2" t="s">
        <v>22</v>
      </c>
      <c r="E633" s="2" t="s">
        <v>23</v>
      </c>
      <c r="F633" s="2" t="s">
        <v>24</v>
      </c>
      <c r="G633" s="2" t="s">
        <v>25</v>
      </c>
      <c r="H633" s="2" t="n">
        <v>4</v>
      </c>
      <c r="I633" s="2" t="str">
        <f aca="false">IF(C633="","Open","Resolved")</f>
        <v>Resolved</v>
      </c>
      <c r="J633" s="2" t="str">
        <f aca="false">TEXT(B633,"yyyy-mm")</f>
        <v>2026-03</v>
      </c>
      <c r="K633" s="8" t="n">
        <f aca="false">IF(C633="","",ROUND((C633-B633)*24,2))</f>
        <v>25.65</v>
      </c>
      <c r="L633" s="2" t="n">
        <f aca="false">INDEX('SLA Policy'!$B$2:$B$5,MATCH(E633,'SLA Policy'!$A$2:$A$5,0))</f>
        <v>8</v>
      </c>
      <c r="M633" s="2" t="str">
        <f aca="false">IF(K633="","Open",IF(K633&lt;=L633,"Yes","No"))</f>
        <v>No</v>
      </c>
    </row>
    <row r="634" customFormat="false" ht="15" hidden="false" customHeight="false" outlineLevel="0" collapsed="false">
      <c r="A634" s="2" t="s">
        <v>668</v>
      </c>
      <c r="B634" s="7" t="n">
        <v>46111.30625</v>
      </c>
      <c r="C634" s="7" t="n">
        <v>46111.9180555556</v>
      </c>
      <c r="D634" s="2" t="s">
        <v>31</v>
      </c>
      <c r="E634" s="2" t="s">
        <v>35</v>
      </c>
      <c r="F634" s="2" t="s">
        <v>24</v>
      </c>
      <c r="G634" s="2" t="s">
        <v>33</v>
      </c>
      <c r="H634" s="2" t="n">
        <v>5</v>
      </c>
      <c r="I634" s="2" t="str">
        <f aca="false">IF(C634="","Open","Resolved")</f>
        <v>Resolved</v>
      </c>
      <c r="J634" s="2" t="str">
        <f aca="false">TEXT(B634,"yyyy-mm")</f>
        <v>2026-03</v>
      </c>
      <c r="K634" s="8" t="n">
        <f aca="false">IF(C634="","",ROUND((C634-B634)*24,2))</f>
        <v>14.68</v>
      </c>
      <c r="L634" s="2" t="n">
        <f aca="false">INDEX('SLA Policy'!$B$2:$B$5,MATCH(E634,'SLA Policy'!$A$2:$A$5,0))</f>
        <v>24</v>
      </c>
      <c r="M634" s="2" t="str">
        <f aca="false">IF(K634="","Open",IF(K634&lt;=L634,"Yes","No"))</f>
        <v>Yes</v>
      </c>
    </row>
    <row r="635" customFormat="false" ht="15" hidden="false" customHeight="false" outlineLevel="0" collapsed="false">
      <c r="A635" s="2" t="s">
        <v>669</v>
      </c>
      <c r="B635" s="7" t="n">
        <v>46111.3347222222</v>
      </c>
      <c r="C635" s="7" t="n">
        <v>46111.5319444445</v>
      </c>
      <c r="D635" s="2" t="s">
        <v>31</v>
      </c>
      <c r="E635" s="2" t="s">
        <v>40</v>
      </c>
      <c r="F635" s="2" t="s">
        <v>24</v>
      </c>
      <c r="G635" s="2" t="s">
        <v>33</v>
      </c>
      <c r="H635" s="2" t="n">
        <v>3</v>
      </c>
      <c r="I635" s="2" t="str">
        <f aca="false">IF(C635="","Open","Resolved")</f>
        <v>Resolved</v>
      </c>
      <c r="J635" s="2" t="str">
        <f aca="false">TEXT(B635,"yyyy-mm")</f>
        <v>2026-03</v>
      </c>
      <c r="K635" s="8" t="n">
        <f aca="false">IF(C635="","",ROUND((C635-B635)*24,2))</f>
        <v>4.73</v>
      </c>
      <c r="L635" s="2" t="n">
        <f aca="false">INDEX('SLA Policy'!$B$2:$B$5,MATCH(E635,'SLA Policy'!$A$2:$A$5,0))</f>
        <v>4</v>
      </c>
      <c r="M635" s="2" t="str">
        <f aca="false">IF(K635="","Open",IF(K635&lt;=L635,"Yes","No"))</f>
        <v>No</v>
      </c>
    </row>
    <row r="636" customFormat="false" ht="15" hidden="false" customHeight="false" outlineLevel="0" collapsed="false">
      <c r="A636" s="2" t="s">
        <v>670</v>
      </c>
      <c r="B636" s="7" t="n">
        <v>46111.4611111111</v>
      </c>
      <c r="C636" s="7" t="n">
        <v>46111.5256944444</v>
      </c>
      <c r="D636" s="2" t="s">
        <v>31</v>
      </c>
      <c r="E636" s="2" t="s">
        <v>23</v>
      </c>
      <c r="F636" s="2" t="s">
        <v>38</v>
      </c>
      <c r="G636" s="2" t="s">
        <v>33</v>
      </c>
      <c r="H636" s="2" t="n">
        <v>5</v>
      </c>
      <c r="I636" s="2" t="str">
        <f aca="false">IF(C636="","Open","Resolved")</f>
        <v>Resolved</v>
      </c>
      <c r="J636" s="2" t="str">
        <f aca="false">TEXT(B636,"yyyy-mm")</f>
        <v>2026-03</v>
      </c>
      <c r="K636" s="8" t="n">
        <f aca="false">IF(C636="","",ROUND((C636-B636)*24,2))</f>
        <v>1.55</v>
      </c>
      <c r="L636" s="2" t="n">
        <f aca="false">INDEX('SLA Policy'!$B$2:$B$5,MATCH(E636,'SLA Policy'!$A$2:$A$5,0))</f>
        <v>8</v>
      </c>
      <c r="M636" s="2" t="str">
        <f aca="false">IF(K636="","Open",IF(K636&lt;=L636,"Yes","No"))</f>
        <v>Yes</v>
      </c>
    </row>
    <row r="637" customFormat="false" ht="15" hidden="false" customHeight="false" outlineLevel="0" collapsed="false">
      <c r="A637" s="2" t="s">
        <v>671</v>
      </c>
      <c r="B637" s="7" t="n">
        <v>46111.5125</v>
      </c>
      <c r="C637" s="7" t="n">
        <v>46111.81875</v>
      </c>
      <c r="D637" s="2" t="s">
        <v>42</v>
      </c>
      <c r="E637" s="2" t="s">
        <v>35</v>
      </c>
      <c r="F637" s="2" t="s">
        <v>24</v>
      </c>
      <c r="G637" s="2" t="s">
        <v>29</v>
      </c>
      <c r="H637" s="2" t="n">
        <v>5</v>
      </c>
      <c r="I637" s="2" t="str">
        <f aca="false">IF(C637="","Open","Resolved")</f>
        <v>Resolved</v>
      </c>
      <c r="J637" s="2" t="str">
        <f aca="false">TEXT(B637,"yyyy-mm")</f>
        <v>2026-03</v>
      </c>
      <c r="K637" s="8" t="n">
        <f aca="false">IF(C637="","",ROUND((C637-B637)*24,2))</f>
        <v>7.35</v>
      </c>
      <c r="L637" s="2" t="n">
        <f aca="false">INDEX('SLA Policy'!$B$2:$B$5,MATCH(E637,'SLA Policy'!$A$2:$A$5,0))</f>
        <v>24</v>
      </c>
      <c r="M637" s="2" t="str">
        <f aca="false">IF(K637="","Open",IF(K637&lt;=L637,"Yes","No"))</f>
        <v>Yes</v>
      </c>
    </row>
    <row r="638" customFormat="false" ht="15" hidden="false" customHeight="false" outlineLevel="0" collapsed="false">
      <c r="A638" s="2" t="s">
        <v>672</v>
      </c>
      <c r="B638" s="7" t="n">
        <v>46111.5680555556</v>
      </c>
      <c r="C638" s="7" t="n">
        <v>46111.6368055556</v>
      </c>
      <c r="D638" s="2" t="s">
        <v>42</v>
      </c>
      <c r="E638" s="2" t="s">
        <v>40</v>
      </c>
      <c r="F638" s="2" t="s">
        <v>28</v>
      </c>
      <c r="G638" s="2" t="s">
        <v>29</v>
      </c>
      <c r="H638" s="2" t="n">
        <v>5</v>
      </c>
      <c r="I638" s="2" t="str">
        <f aca="false">IF(C638="","Open","Resolved")</f>
        <v>Resolved</v>
      </c>
      <c r="J638" s="2" t="str">
        <f aca="false">TEXT(B638,"yyyy-mm")</f>
        <v>2026-03</v>
      </c>
      <c r="K638" s="8" t="n">
        <f aca="false">IF(C638="","",ROUND((C638-B638)*24,2))</f>
        <v>1.65</v>
      </c>
      <c r="L638" s="2" t="n">
        <f aca="false">INDEX('SLA Policy'!$B$2:$B$5,MATCH(E638,'SLA Policy'!$A$2:$A$5,0))</f>
        <v>4</v>
      </c>
      <c r="M638" s="2" t="str">
        <f aca="false">IF(K638="","Open",IF(K638&lt;=L638,"Yes","No"))</f>
        <v>Yes</v>
      </c>
    </row>
    <row r="639" customFormat="false" ht="15" hidden="false" customHeight="false" outlineLevel="0" collapsed="false">
      <c r="A639" s="2" t="s">
        <v>673</v>
      </c>
      <c r="B639" s="7" t="n">
        <v>46111.5888888889</v>
      </c>
      <c r="C639" s="7" t="n">
        <v>46116.0805555556</v>
      </c>
      <c r="D639" s="2" t="s">
        <v>31</v>
      </c>
      <c r="E639" s="2" t="s">
        <v>32</v>
      </c>
      <c r="F639" s="2" t="s">
        <v>27</v>
      </c>
      <c r="G639" s="2" t="s">
        <v>33</v>
      </c>
      <c r="H639" s="2" t="n">
        <v>1</v>
      </c>
      <c r="I639" s="2" t="str">
        <f aca="false">IF(C639="","Open","Resolved")</f>
        <v>Resolved</v>
      </c>
      <c r="J639" s="2" t="str">
        <f aca="false">TEXT(B639,"yyyy-mm")</f>
        <v>2026-03</v>
      </c>
      <c r="K639" s="8" t="n">
        <f aca="false">IF(C639="","",ROUND((C639-B639)*24,2))</f>
        <v>107.8</v>
      </c>
      <c r="L639" s="2" t="n">
        <f aca="false">INDEX('SLA Policy'!$B$2:$B$5,MATCH(E639,'SLA Policy'!$A$2:$A$5,0))</f>
        <v>72</v>
      </c>
      <c r="M639" s="2" t="str">
        <f aca="false">IF(K639="","Open",IF(K639&lt;=L639,"Yes","No"))</f>
        <v>No</v>
      </c>
    </row>
    <row r="640" customFormat="false" ht="15" hidden="false" customHeight="false" outlineLevel="0" collapsed="false">
      <c r="A640" s="2" t="s">
        <v>674</v>
      </c>
      <c r="B640" s="7" t="n">
        <v>46111.7069444444</v>
      </c>
      <c r="C640" s="7" t="n">
        <v>46112.7298611111</v>
      </c>
      <c r="D640" s="2" t="s">
        <v>31</v>
      </c>
      <c r="E640" s="2" t="s">
        <v>35</v>
      </c>
      <c r="F640" s="2" t="s">
        <v>27</v>
      </c>
      <c r="G640" s="2" t="s">
        <v>33</v>
      </c>
      <c r="H640" s="2" t="n">
        <v>3</v>
      </c>
      <c r="I640" s="2" t="str">
        <f aca="false">IF(C640="","Open","Resolved")</f>
        <v>Resolved</v>
      </c>
      <c r="J640" s="2" t="str">
        <f aca="false">TEXT(B640,"yyyy-mm")</f>
        <v>2026-03</v>
      </c>
      <c r="K640" s="8" t="n">
        <f aca="false">IF(C640="","",ROUND((C640-B640)*24,2))</f>
        <v>24.55</v>
      </c>
      <c r="L640" s="2" t="n">
        <f aca="false">INDEX('SLA Policy'!$B$2:$B$5,MATCH(E640,'SLA Policy'!$A$2:$A$5,0))</f>
        <v>24</v>
      </c>
      <c r="M640" s="2" t="str">
        <f aca="false">IF(K640="","Open",IF(K640&lt;=L640,"Yes","No"))</f>
        <v>No</v>
      </c>
    </row>
    <row r="641" customFormat="false" ht="15" hidden="false" customHeight="false" outlineLevel="0" collapsed="false">
      <c r="A641" s="2" t="s">
        <v>675</v>
      </c>
      <c r="B641" s="7" t="n">
        <v>46111.7076388889</v>
      </c>
      <c r="C641" s="7" t="n">
        <v>46112.9277777778</v>
      </c>
      <c r="D641" s="2" t="s">
        <v>22</v>
      </c>
      <c r="E641" s="2" t="s">
        <v>35</v>
      </c>
      <c r="F641" s="2" t="s">
        <v>27</v>
      </c>
      <c r="G641" s="2" t="s">
        <v>25</v>
      </c>
      <c r="H641" s="2" t="n">
        <v>3</v>
      </c>
      <c r="I641" s="2" t="str">
        <f aca="false">IF(C641="","Open","Resolved")</f>
        <v>Resolved</v>
      </c>
      <c r="J641" s="2" t="str">
        <f aca="false">TEXT(B641,"yyyy-mm")</f>
        <v>2026-03</v>
      </c>
      <c r="K641" s="8" t="n">
        <f aca="false">IF(C641="","",ROUND((C641-B641)*24,2))</f>
        <v>29.28</v>
      </c>
      <c r="L641" s="2" t="n">
        <f aca="false">INDEX('SLA Policy'!$B$2:$B$5,MATCH(E641,'SLA Policy'!$A$2:$A$5,0))</f>
        <v>24</v>
      </c>
      <c r="M641" s="2" t="str">
        <f aca="false">IF(K641="","Open",IF(K641&lt;=L641,"Yes","No"))</f>
        <v>No</v>
      </c>
    </row>
    <row r="642" customFormat="false" ht="15" hidden="false" customHeight="false" outlineLevel="0" collapsed="false">
      <c r="A642" s="2" t="s">
        <v>676</v>
      </c>
      <c r="B642" s="7" t="n">
        <v>46111.7194444445</v>
      </c>
      <c r="C642" s="7" t="n">
        <v>46115.3381944444</v>
      </c>
      <c r="D642" s="2" t="s">
        <v>31</v>
      </c>
      <c r="E642" s="2" t="s">
        <v>32</v>
      </c>
      <c r="F642" s="2" t="s">
        <v>24</v>
      </c>
      <c r="G642" s="2" t="s">
        <v>33</v>
      </c>
      <c r="H642" s="2" t="n">
        <v>1</v>
      </c>
      <c r="I642" s="2" t="str">
        <f aca="false">IF(C642="","Open","Resolved")</f>
        <v>Resolved</v>
      </c>
      <c r="J642" s="2" t="str">
        <f aca="false">TEXT(B642,"yyyy-mm")</f>
        <v>2026-03</v>
      </c>
      <c r="K642" s="8" t="n">
        <f aca="false">IF(C642="","",ROUND((C642-B642)*24,2))</f>
        <v>86.85</v>
      </c>
      <c r="L642" s="2" t="n">
        <f aca="false">INDEX('SLA Policy'!$B$2:$B$5,MATCH(E642,'SLA Policy'!$A$2:$A$5,0))</f>
        <v>72</v>
      </c>
      <c r="M642" s="2" t="str">
        <f aca="false">IF(K642="","Open",IF(K642&lt;=L642,"Yes","No"))</f>
        <v>No</v>
      </c>
    </row>
    <row r="643" customFormat="false" ht="15" hidden="false" customHeight="false" outlineLevel="0" collapsed="false">
      <c r="A643" s="2" t="s">
        <v>677</v>
      </c>
      <c r="B643" s="7" t="n">
        <v>46112.3333333333</v>
      </c>
      <c r="C643" s="7" t="n">
        <v>46114.3736111111</v>
      </c>
      <c r="D643" s="2" t="s">
        <v>48</v>
      </c>
      <c r="E643" s="2" t="s">
        <v>35</v>
      </c>
      <c r="F643" s="2" t="s">
        <v>27</v>
      </c>
      <c r="G643" s="2" t="s">
        <v>25</v>
      </c>
      <c r="H643" s="2" t="n">
        <v>3</v>
      </c>
      <c r="I643" s="2" t="str">
        <f aca="false">IF(C643="","Open","Resolved")</f>
        <v>Resolved</v>
      </c>
      <c r="J643" s="2" t="str">
        <f aca="false">TEXT(B643,"yyyy-mm")</f>
        <v>2026-03</v>
      </c>
      <c r="K643" s="8" t="n">
        <f aca="false">IF(C643="","",ROUND((C643-B643)*24,2))</f>
        <v>48.97</v>
      </c>
      <c r="L643" s="2" t="n">
        <f aca="false">INDEX('SLA Policy'!$B$2:$B$5,MATCH(E643,'SLA Policy'!$A$2:$A$5,0))</f>
        <v>24</v>
      </c>
      <c r="M643" s="2" t="str">
        <f aca="false">IF(K643="","Open",IF(K643&lt;=L643,"Yes","No"))</f>
        <v>No</v>
      </c>
    </row>
    <row r="644" customFormat="false" ht="15" hidden="false" customHeight="false" outlineLevel="0" collapsed="false">
      <c r="A644" s="2" t="s">
        <v>678</v>
      </c>
      <c r="B644" s="7" t="n">
        <v>46112.3958333333</v>
      </c>
      <c r="C644" s="7" t="n">
        <v>46112.6902777778</v>
      </c>
      <c r="D644" s="2" t="s">
        <v>31</v>
      </c>
      <c r="E644" s="2" t="s">
        <v>40</v>
      </c>
      <c r="F644" s="2" t="s">
        <v>38</v>
      </c>
      <c r="G644" s="2" t="s">
        <v>33</v>
      </c>
      <c r="H644" s="2" t="n">
        <v>4</v>
      </c>
      <c r="I644" s="2" t="str">
        <f aca="false">IF(C644="","Open","Resolved")</f>
        <v>Resolved</v>
      </c>
      <c r="J644" s="2" t="str">
        <f aca="false">TEXT(B644,"yyyy-mm")</f>
        <v>2026-03</v>
      </c>
      <c r="K644" s="8" t="n">
        <f aca="false">IF(C644="","",ROUND((C644-B644)*24,2))</f>
        <v>7.07</v>
      </c>
      <c r="L644" s="2" t="n">
        <f aca="false">INDEX('SLA Policy'!$B$2:$B$5,MATCH(E644,'SLA Policy'!$A$2:$A$5,0))</f>
        <v>4</v>
      </c>
      <c r="M644" s="2" t="str">
        <f aca="false">IF(K644="","Open",IF(K644&lt;=L644,"Yes","No"))</f>
        <v>No</v>
      </c>
    </row>
    <row r="645" customFormat="false" ht="15" hidden="false" customHeight="false" outlineLevel="0" collapsed="false">
      <c r="A645" s="2" t="s">
        <v>679</v>
      </c>
      <c r="B645" s="7" t="n">
        <v>46112.4666666667</v>
      </c>
      <c r="C645" s="7" t="n">
        <v>46113.2222222222</v>
      </c>
      <c r="D645" s="2" t="s">
        <v>31</v>
      </c>
      <c r="E645" s="2" t="s">
        <v>35</v>
      </c>
      <c r="F645" s="2" t="s">
        <v>24</v>
      </c>
      <c r="G645" s="2" t="s">
        <v>33</v>
      </c>
      <c r="H645" s="2" t="n">
        <v>4</v>
      </c>
      <c r="I645" s="2" t="str">
        <f aca="false">IF(C645="","Open","Resolved")</f>
        <v>Resolved</v>
      </c>
      <c r="J645" s="2" t="str">
        <f aca="false">TEXT(B645,"yyyy-mm")</f>
        <v>2026-03</v>
      </c>
      <c r="K645" s="8" t="n">
        <f aca="false">IF(C645="","",ROUND((C645-B645)*24,2))</f>
        <v>18.13</v>
      </c>
      <c r="L645" s="2" t="n">
        <f aca="false">INDEX('SLA Policy'!$B$2:$B$5,MATCH(E645,'SLA Policy'!$A$2:$A$5,0))</f>
        <v>24</v>
      </c>
      <c r="M645" s="2" t="str">
        <f aca="false">IF(K645="","Open",IF(K645&lt;=L645,"Yes","No"))</f>
        <v>Yes</v>
      </c>
    </row>
    <row r="646" customFormat="false" ht="15" hidden="false" customHeight="false" outlineLevel="0" collapsed="false">
      <c r="A646" s="2" t="s">
        <v>680</v>
      </c>
      <c r="B646" s="7" t="n">
        <v>46112.4756944445</v>
      </c>
      <c r="C646" s="7" t="n">
        <v>46114.1493055556</v>
      </c>
      <c r="D646" s="2" t="s">
        <v>31</v>
      </c>
      <c r="E646" s="2" t="s">
        <v>35</v>
      </c>
      <c r="F646" s="2" t="s">
        <v>27</v>
      </c>
      <c r="G646" s="2" t="s">
        <v>33</v>
      </c>
      <c r="H646" s="2" t="n">
        <v>5</v>
      </c>
      <c r="I646" s="2" t="str">
        <f aca="false">IF(C646="","Open","Resolved")</f>
        <v>Resolved</v>
      </c>
      <c r="J646" s="2" t="str">
        <f aca="false">TEXT(B646,"yyyy-mm")</f>
        <v>2026-03</v>
      </c>
      <c r="K646" s="8" t="n">
        <f aca="false">IF(C646="","",ROUND((C646-B646)*24,2))</f>
        <v>40.17</v>
      </c>
      <c r="L646" s="2" t="n">
        <f aca="false">INDEX('SLA Policy'!$B$2:$B$5,MATCH(E646,'SLA Policy'!$A$2:$A$5,0))</f>
        <v>24</v>
      </c>
      <c r="M646" s="2" t="str">
        <f aca="false">IF(K646="","Open",IF(K646&lt;=L646,"Yes","No"))</f>
        <v>No</v>
      </c>
    </row>
    <row r="647" customFormat="false" ht="15" hidden="false" customHeight="false" outlineLevel="0" collapsed="false">
      <c r="A647" s="2" t="s">
        <v>681</v>
      </c>
      <c r="B647" s="7" t="n">
        <v>46112.50625</v>
      </c>
      <c r="C647" s="7" t="n">
        <v>46114.3506944445</v>
      </c>
      <c r="D647" s="2" t="s">
        <v>31</v>
      </c>
      <c r="E647" s="2" t="s">
        <v>32</v>
      </c>
      <c r="F647" s="2" t="s">
        <v>27</v>
      </c>
      <c r="G647" s="2" t="s">
        <v>33</v>
      </c>
      <c r="H647" s="2" t="n">
        <v>3</v>
      </c>
      <c r="I647" s="2" t="str">
        <f aca="false">IF(C647="","Open","Resolved")</f>
        <v>Resolved</v>
      </c>
      <c r="J647" s="2" t="str">
        <f aca="false">TEXT(B647,"yyyy-mm")</f>
        <v>2026-03</v>
      </c>
      <c r="K647" s="8" t="n">
        <f aca="false">IF(C647="","",ROUND((C647-B647)*24,2))</f>
        <v>44.27</v>
      </c>
      <c r="L647" s="2" t="n">
        <f aca="false">INDEX('SLA Policy'!$B$2:$B$5,MATCH(E647,'SLA Policy'!$A$2:$A$5,0))</f>
        <v>72</v>
      </c>
      <c r="M647" s="2" t="str">
        <f aca="false">IF(K647="","Open",IF(K647&lt;=L647,"Yes","No"))</f>
        <v>Yes</v>
      </c>
    </row>
    <row r="648" customFormat="false" ht="15" hidden="false" customHeight="false" outlineLevel="0" collapsed="false">
      <c r="A648" s="2" t="s">
        <v>682</v>
      </c>
      <c r="B648" s="7" t="n">
        <v>46112.5125</v>
      </c>
      <c r="C648" s="7" t="n">
        <v>46115.5180555556</v>
      </c>
      <c r="D648" s="2" t="s">
        <v>27</v>
      </c>
      <c r="E648" s="2" t="s">
        <v>32</v>
      </c>
      <c r="F648" s="2" t="s">
        <v>38</v>
      </c>
      <c r="G648" s="2" t="s">
        <v>29</v>
      </c>
      <c r="H648" s="2" t="n">
        <v>2</v>
      </c>
      <c r="I648" s="2" t="str">
        <f aca="false">IF(C648="","Open","Resolved")</f>
        <v>Resolved</v>
      </c>
      <c r="J648" s="2" t="str">
        <f aca="false">TEXT(B648,"yyyy-mm")</f>
        <v>2026-03</v>
      </c>
      <c r="K648" s="8" t="n">
        <f aca="false">IF(C648="","",ROUND((C648-B648)*24,2))</f>
        <v>72.13</v>
      </c>
      <c r="L648" s="2" t="n">
        <f aca="false">INDEX('SLA Policy'!$B$2:$B$5,MATCH(E648,'SLA Policy'!$A$2:$A$5,0))</f>
        <v>72</v>
      </c>
      <c r="M648" s="2" t="str">
        <f aca="false">IF(K648="","Open",IF(K648&lt;=L648,"Yes","No"))</f>
        <v>No</v>
      </c>
    </row>
    <row r="649" customFormat="false" ht="15" hidden="false" customHeight="false" outlineLevel="0" collapsed="false">
      <c r="A649" s="2" t="s">
        <v>683</v>
      </c>
      <c r="B649" s="7" t="n">
        <v>46112.6111111111</v>
      </c>
      <c r="C649" s="7" t="n">
        <v>46113.4909722222</v>
      </c>
      <c r="D649" s="2" t="s">
        <v>31</v>
      </c>
      <c r="E649" s="2" t="s">
        <v>35</v>
      </c>
      <c r="F649" s="2" t="s">
        <v>28</v>
      </c>
      <c r="G649" s="2" t="s">
        <v>33</v>
      </c>
      <c r="H649" s="2" t="n">
        <v>4</v>
      </c>
      <c r="I649" s="2" t="str">
        <f aca="false">IF(C649="","Open","Resolved")</f>
        <v>Resolved</v>
      </c>
      <c r="J649" s="2" t="str">
        <f aca="false">TEXT(B649,"yyyy-mm")</f>
        <v>2026-03</v>
      </c>
      <c r="K649" s="8" t="n">
        <f aca="false">IF(C649="","",ROUND((C649-B649)*24,2))</f>
        <v>21.12</v>
      </c>
      <c r="L649" s="2" t="n">
        <f aca="false">INDEX('SLA Policy'!$B$2:$B$5,MATCH(E649,'SLA Policy'!$A$2:$A$5,0))</f>
        <v>24</v>
      </c>
      <c r="M649" s="2" t="str">
        <f aca="false">IF(K649="","Open",IF(K649&lt;=L649,"Yes","No"))</f>
        <v>Yes</v>
      </c>
    </row>
    <row r="650" customFormat="false" ht="15" hidden="false" customHeight="false" outlineLevel="0" collapsed="false">
      <c r="A650" s="2" t="s">
        <v>684</v>
      </c>
      <c r="B650" s="7" t="n">
        <v>46112.6243055556</v>
      </c>
      <c r="C650" s="7" t="n">
        <v>46113.8986111111</v>
      </c>
      <c r="D650" s="2" t="s">
        <v>42</v>
      </c>
      <c r="E650" s="2" t="s">
        <v>32</v>
      </c>
      <c r="F650" s="2" t="s">
        <v>38</v>
      </c>
      <c r="G650" s="2" t="s">
        <v>29</v>
      </c>
      <c r="H650" s="2" t="n">
        <v>4</v>
      </c>
      <c r="I650" s="2" t="str">
        <f aca="false">IF(C650="","Open","Resolved")</f>
        <v>Resolved</v>
      </c>
      <c r="J650" s="2" t="str">
        <f aca="false">TEXT(B650,"yyyy-mm")</f>
        <v>2026-03</v>
      </c>
      <c r="K650" s="8" t="n">
        <f aca="false">IF(C650="","",ROUND((C650-B650)*24,2))</f>
        <v>30.58</v>
      </c>
      <c r="L650" s="2" t="n">
        <f aca="false">INDEX('SLA Policy'!$B$2:$B$5,MATCH(E650,'SLA Policy'!$A$2:$A$5,0))</f>
        <v>72</v>
      </c>
      <c r="M650" s="2" t="str">
        <f aca="false">IF(K650="","Open",IF(K650&lt;=L650,"Yes","No"))</f>
        <v>Yes</v>
      </c>
    </row>
    <row r="651" customFormat="false" ht="15" hidden="false" customHeight="false" outlineLevel="0" collapsed="false">
      <c r="A651" s="2" t="s">
        <v>685</v>
      </c>
      <c r="B651" s="7" t="n">
        <v>46112.7256944445</v>
      </c>
      <c r="C651" s="7" t="n">
        <v>46113.4763888889</v>
      </c>
      <c r="D651" s="2" t="s">
        <v>22</v>
      </c>
      <c r="E651" s="2" t="s">
        <v>35</v>
      </c>
      <c r="F651" s="2" t="s">
        <v>24</v>
      </c>
      <c r="G651" s="2" t="s">
        <v>25</v>
      </c>
      <c r="H651" s="2" t="n">
        <v>5</v>
      </c>
      <c r="I651" s="2" t="str">
        <f aca="false">IF(C651="","Open","Resolved")</f>
        <v>Resolved</v>
      </c>
      <c r="J651" s="2" t="str">
        <f aca="false">TEXT(B651,"yyyy-mm")</f>
        <v>2026-03</v>
      </c>
      <c r="K651" s="8" t="n">
        <f aca="false">IF(C651="","",ROUND((C651-B651)*24,2))</f>
        <v>18.02</v>
      </c>
      <c r="L651" s="2" t="n">
        <f aca="false">INDEX('SLA Policy'!$B$2:$B$5,MATCH(E651,'SLA Policy'!$A$2:$A$5,0))</f>
        <v>24</v>
      </c>
      <c r="M651" s="2" t="str">
        <f aca="false">IF(K651="","Open",IF(K651&lt;=L651,"Yes","No"))</f>
        <v>Yes</v>
      </c>
    </row>
    <row r="652" customFormat="false" ht="15" hidden="false" customHeight="false" outlineLevel="0" collapsed="false">
      <c r="A652" s="2" t="s">
        <v>686</v>
      </c>
      <c r="B652" s="7" t="n">
        <v>46112.7701388889</v>
      </c>
      <c r="C652" s="7" t="n">
        <v>46112.9708333333</v>
      </c>
      <c r="D652" s="2" t="s">
        <v>31</v>
      </c>
      <c r="E652" s="2" t="s">
        <v>23</v>
      </c>
      <c r="F652" s="2" t="s">
        <v>38</v>
      </c>
      <c r="G652" s="2" t="s">
        <v>33</v>
      </c>
      <c r="H652" s="2" t="n">
        <v>5</v>
      </c>
      <c r="I652" s="2" t="str">
        <f aca="false">IF(C652="","Open","Resolved")</f>
        <v>Resolved</v>
      </c>
      <c r="J652" s="2" t="str">
        <f aca="false">TEXT(B652,"yyyy-mm")</f>
        <v>2026-03</v>
      </c>
      <c r="K652" s="8" t="n">
        <f aca="false">IF(C652="","",ROUND((C652-B652)*24,2))</f>
        <v>4.82</v>
      </c>
      <c r="L652" s="2" t="n">
        <f aca="false">INDEX('SLA Policy'!$B$2:$B$5,MATCH(E652,'SLA Policy'!$A$2:$A$5,0))</f>
        <v>8</v>
      </c>
      <c r="M652" s="2" t="str">
        <f aca="false">IF(K652="","Open",IF(K652&lt;=L652,"Yes","No"))</f>
        <v>Yes</v>
      </c>
    </row>
    <row r="653" customFormat="false" ht="15" hidden="false" customHeight="false" outlineLevel="0" collapsed="false">
      <c r="A653" s="2" t="s">
        <v>687</v>
      </c>
      <c r="B653" s="7" t="n">
        <v>46113.5638888889</v>
      </c>
      <c r="C653" s="7" t="n">
        <v>46115.20625</v>
      </c>
      <c r="D653" s="2" t="s">
        <v>22</v>
      </c>
      <c r="E653" s="2" t="s">
        <v>35</v>
      </c>
      <c r="F653" s="2" t="s">
        <v>27</v>
      </c>
      <c r="G653" s="2" t="s">
        <v>25</v>
      </c>
      <c r="H653" s="2" t="n">
        <v>4</v>
      </c>
      <c r="I653" s="2" t="str">
        <f aca="false">IF(C653="","Open","Resolved")</f>
        <v>Resolved</v>
      </c>
      <c r="J653" s="2" t="str">
        <f aca="false">TEXT(B653,"yyyy-mm")</f>
        <v>2026-04</v>
      </c>
      <c r="K653" s="8" t="n">
        <f aca="false">IF(C653="","",ROUND((C653-B653)*24,2))</f>
        <v>39.42</v>
      </c>
      <c r="L653" s="2" t="n">
        <f aca="false">INDEX('SLA Policy'!$B$2:$B$5,MATCH(E653,'SLA Policy'!$A$2:$A$5,0))</f>
        <v>24</v>
      </c>
      <c r="M653" s="2" t="str">
        <f aca="false">IF(K653="","Open",IF(K653&lt;=L653,"Yes","No"))</f>
        <v>No</v>
      </c>
    </row>
    <row r="654" customFormat="false" ht="15" hidden="false" customHeight="false" outlineLevel="0" collapsed="false">
      <c r="A654" s="2" t="s">
        <v>688</v>
      </c>
      <c r="B654" s="7" t="n">
        <v>46113.5645833333</v>
      </c>
      <c r="C654" s="7" t="n">
        <v>46114.6611111111</v>
      </c>
      <c r="D654" s="2" t="s">
        <v>42</v>
      </c>
      <c r="E654" s="2" t="s">
        <v>35</v>
      </c>
      <c r="F654" s="2" t="s">
        <v>27</v>
      </c>
      <c r="G654" s="2" t="s">
        <v>29</v>
      </c>
      <c r="H654" s="2" t="n">
        <v>4</v>
      </c>
      <c r="I654" s="2" t="str">
        <f aca="false">IF(C654="","Open","Resolved")</f>
        <v>Resolved</v>
      </c>
      <c r="J654" s="2" t="str">
        <f aca="false">TEXT(B654,"yyyy-mm")</f>
        <v>2026-04</v>
      </c>
      <c r="K654" s="8" t="n">
        <f aca="false">IF(C654="","",ROUND((C654-B654)*24,2))</f>
        <v>26.32</v>
      </c>
      <c r="L654" s="2" t="n">
        <f aca="false">INDEX('SLA Policy'!$B$2:$B$5,MATCH(E654,'SLA Policy'!$A$2:$A$5,0))</f>
        <v>24</v>
      </c>
      <c r="M654" s="2" t="str">
        <f aca="false">IF(K654="","Open",IF(K654&lt;=L654,"Yes","No"))</f>
        <v>No</v>
      </c>
    </row>
    <row r="655" customFormat="false" ht="15" hidden="false" customHeight="false" outlineLevel="0" collapsed="false">
      <c r="A655" s="2" t="s">
        <v>689</v>
      </c>
      <c r="B655" s="7" t="n">
        <v>46114.3090277778</v>
      </c>
      <c r="C655" s="7" t="n">
        <v>46114.7923611111</v>
      </c>
      <c r="D655" s="2" t="s">
        <v>31</v>
      </c>
      <c r="E655" s="2" t="s">
        <v>23</v>
      </c>
      <c r="F655" s="2" t="s">
        <v>24</v>
      </c>
      <c r="G655" s="2" t="s">
        <v>33</v>
      </c>
      <c r="H655" s="2" t="n">
        <v>4</v>
      </c>
      <c r="I655" s="2" t="str">
        <f aca="false">IF(C655="","Open","Resolved")</f>
        <v>Resolved</v>
      </c>
      <c r="J655" s="2" t="str">
        <f aca="false">TEXT(B655,"yyyy-mm")</f>
        <v>2026-04</v>
      </c>
      <c r="K655" s="8" t="n">
        <f aca="false">IF(C655="","",ROUND((C655-B655)*24,2))</f>
        <v>11.6</v>
      </c>
      <c r="L655" s="2" t="n">
        <f aca="false">INDEX('SLA Policy'!$B$2:$B$5,MATCH(E655,'SLA Policy'!$A$2:$A$5,0))</f>
        <v>8</v>
      </c>
      <c r="M655" s="2" t="str">
        <f aca="false">IF(K655="","Open",IF(K655&lt;=L655,"Yes","No"))</f>
        <v>No</v>
      </c>
    </row>
    <row r="656" customFormat="false" ht="15" hidden="false" customHeight="false" outlineLevel="0" collapsed="false">
      <c r="A656" s="2" t="s">
        <v>690</v>
      </c>
      <c r="B656" s="7" t="n">
        <v>46114.3138888889</v>
      </c>
      <c r="C656" s="7" t="n">
        <v>46114.7979166667</v>
      </c>
      <c r="D656" s="2" t="s">
        <v>31</v>
      </c>
      <c r="E656" s="2" t="s">
        <v>35</v>
      </c>
      <c r="F656" s="2" t="s">
        <v>27</v>
      </c>
      <c r="G656" s="2" t="s">
        <v>33</v>
      </c>
      <c r="H656" s="2" t="n">
        <v>5</v>
      </c>
      <c r="I656" s="2" t="str">
        <f aca="false">IF(C656="","Open","Resolved")</f>
        <v>Resolved</v>
      </c>
      <c r="J656" s="2" t="str">
        <f aca="false">TEXT(B656,"yyyy-mm")</f>
        <v>2026-04</v>
      </c>
      <c r="K656" s="8" t="n">
        <f aca="false">IF(C656="","",ROUND((C656-B656)*24,2))</f>
        <v>11.62</v>
      </c>
      <c r="L656" s="2" t="n">
        <f aca="false">INDEX('SLA Policy'!$B$2:$B$5,MATCH(E656,'SLA Policy'!$A$2:$A$5,0))</f>
        <v>24</v>
      </c>
      <c r="M656" s="2" t="str">
        <f aca="false">IF(K656="","Open",IF(K656&lt;=L656,"Yes","No"))</f>
        <v>Yes</v>
      </c>
    </row>
    <row r="657" customFormat="false" ht="15" hidden="false" customHeight="false" outlineLevel="0" collapsed="false">
      <c r="A657" s="2" t="s">
        <v>691</v>
      </c>
      <c r="B657" s="7" t="n">
        <v>46114.3784722222</v>
      </c>
      <c r="C657" s="7" t="n">
        <v>46114.7847222222</v>
      </c>
      <c r="D657" s="2" t="s">
        <v>22</v>
      </c>
      <c r="E657" s="2" t="s">
        <v>23</v>
      </c>
      <c r="F657" s="2" t="s">
        <v>24</v>
      </c>
      <c r="G657" s="2" t="s">
        <v>25</v>
      </c>
      <c r="H657" s="2" t="n">
        <v>5</v>
      </c>
      <c r="I657" s="2" t="str">
        <f aca="false">IF(C657="","Open","Resolved")</f>
        <v>Resolved</v>
      </c>
      <c r="J657" s="2" t="str">
        <f aca="false">TEXT(B657,"yyyy-mm")</f>
        <v>2026-04</v>
      </c>
      <c r="K657" s="8" t="n">
        <f aca="false">IF(C657="","",ROUND((C657-B657)*24,2))</f>
        <v>9.75</v>
      </c>
      <c r="L657" s="2" t="n">
        <f aca="false">INDEX('SLA Policy'!$B$2:$B$5,MATCH(E657,'SLA Policy'!$A$2:$A$5,0))</f>
        <v>8</v>
      </c>
      <c r="M657" s="2" t="str">
        <f aca="false">IF(K657="","Open",IF(K657&lt;=L657,"Yes","No"))</f>
        <v>No</v>
      </c>
    </row>
    <row r="658" customFormat="false" ht="15" hidden="false" customHeight="false" outlineLevel="0" collapsed="false">
      <c r="A658" s="2" t="s">
        <v>692</v>
      </c>
      <c r="B658" s="7" t="n">
        <v>46114.3861111111</v>
      </c>
      <c r="C658" s="7" t="n">
        <v>46116.0881944444</v>
      </c>
      <c r="D658" s="2" t="s">
        <v>27</v>
      </c>
      <c r="E658" s="2" t="s">
        <v>32</v>
      </c>
      <c r="F658" s="2" t="s">
        <v>27</v>
      </c>
      <c r="G658" s="2" t="s">
        <v>29</v>
      </c>
      <c r="H658" s="2" t="n">
        <v>2</v>
      </c>
      <c r="I658" s="2" t="str">
        <f aca="false">IF(C658="","Open","Resolved")</f>
        <v>Resolved</v>
      </c>
      <c r="J658" s="2" t="str">
        <f aca="false">TEXT(B658,"yyyy-mm")</f>
        <v>2026-04</v>
      </c>
      <c r="K658" s="8" t="n">
        <f aca="false">IF(C658="","",ROUND((C658-B658)*24,2))</f>
        <v>40.85</v>
      </c>
      <c r="L658" s="2" t="n">
        <f aca="false">INDEX('SLA Policy'!$B$2:$B$5,MATCH(E658,'SLA Policy'!$A$2:$A$5,0))</f>
        <v>72</v>
      </c>
      <c r="M658" s="2" t="str">
        <f aca="false">IF(K658="","Open",IF(K658&lt;=L658,"Yes","No"))</f>
        <v>Yes</v>
      </c>
    </row>
    <row r="659" customFormat="false" ht="15" hidden="false" customHeight="false" outlineLevel="0" collapsed="false">
      <c r="A659" s="2" t="s">
        <v>693</v>
      </c>
      <c r="B659" s="7" t="n">
        <v>46114.3888888889</v>
      </c>
      <c r="C659" s="7" t="n">
        <v>46115.79375</v>
      </c>
      <c r="D659" s="2" t="s">
        <v>48</v>
      </c>
      <c r="E659" s="2" t="s">
        <v>32</v>
      </c>
      <c r="F659" s="2" t="s">
        <v>27</v>
      </c>
      <c r="G659" s="2" t="s">
        <v>25</v>
      </c>
      <c r="H659" s="2" t="n">
        <v>3</v>
      </c>
      <c r="I659" s="2" t="str">
        <f aca="false">IF(C659="","Open","Resolved")</f>
        <v>Resolved</v>
      </c>
      <c r="J659" s="2" t="str">
        <f aca="false">TEXT(B659,"yyyy-mm")</f>
        <v>2026-04</v>
      </c>
      <c r="K659" s="8" t="n">
        <f aca="false">IF(C659="","",ROUND((C659-B659)*24,2))</f>
        <v>33.72</v>
      </c>
      <c r="L659" s="2" t="n">
        <f aca="false">INDEX('SLA Policy'!$B$2:$B$5,MATCH(E659,'SLA Policy'!$A$2:$A$5,0))</f>
        <v>72</v>
      </c>
      <c r="M659" s="2" t="str">
        <f aca="false">IF(K659="","Open",IF(K659&lt;=L659,"Yes","No"))</f>
        <v>Yes</v>
      </c>
    </row>
    <row r="660" customFormat="false" ht="15" hidden="false" customHeight="false" outlineLevel="0" collapsed="false">
      <c r="A660" s="2" t="s">
        <v>694</v>
      </c>
      <c r="B660" s="7" t="n">
        <v>46114.39375</v>
      </c>
      <c r="C660" s="7" t="n">
        <v>46114.6479166667</v>
      </c>
      <c r="D660" s="2" t="s">
        <v>42</v>
      </c>
      <c r="E660" s="2" t="s">
        <v>23</v>
      </c>
      <c r="F660" s="2" t="s">
        <v>28</v>
      </c>
      <c r="G660" s="2" t="s">
        <v>29</v>
      </c>
      <c r="H660" s="2" t="n">
        <v>4</v>
      </c>
      <c r="I660" s="2" t="str">
        <f aca="false">IF(C660="","Open","Resolved")</f>
        <v>Resolved</v>
      </c>
      <c r="J660" s="2" t="str">
        <f aca="false">TEXT(B660,"yyyy-mm")</f>
        <v>2026-04</v>
      </c>
      <c r="K660" s="8" t="n">
        <f aca="false">IF(C660="","",ROUND((C660-B660)*24,2))</f>
        <v>6.1</v>
      </c>
      <c r="L660" s="2" t="n">
        <f aca="false">INDEX('SLA Policy'!$B$2:$B$5,MATCH(E660,'SLA Policy'!$A$2:$A$5,0))</f>
        <v>8</v>
      </c>
      <c r="M660" s="2" t="str">
        <f aca="false">IF(K660="","Open",IF(K660&lt;=L660,"Yes","No"))</f>
        <v>Yes</v>
      </c>
    </row>
    <row r="661" customFormat="false" ht="15" hidden="false" customHeight="false" outlineLevel="0" collapsed="false">
      <c r="A661" s="2" t="s">
        <v>695</v>
      </c>
      <c r="B661" s="7" t="n">
        <v>46114.3944444444</v>
      </c>
      <c r="C661" s="7" t="n">
        <v>46114.8034722222</v>
      </c>
      <c r="D661" s="2" t="s">
        <v>31</v>
      </c>
      <c r="E661" s="2" t="s">
        <v>23</v>
      </c>
      <c r="F661" s="2" t="s">
        <v>28</v>
      </c>
      <c r="G661" s="2" t="s">
        <v>33</v>
      </c>
      <c r="H661" s="2" t="n">
        <v>4</v>
      </c>
      <c r="I661" s="2" t="str">
        <f aca="false">IF(C661="","Open","Resolved")</f>
        <v>Resolved</v>
      </c>
      <c r="J661" s="2" t="str">
        <f aca="false">TEXT(B661,"yyyy-mm")</f>
        <v>2026-04</v>
      </c>
      <c r="K661" s="8" t="n">
        <f aca="false">IF(C661="","",ROUND((C661-B661)*24,2))</f>
        <v>9.82</v>
      </c>
      <c r="L661" s="2" t="n">
        <f aca="false">INDEX('SLA Policy'!$B$2:$B$5,MATCH(E661,'SLA Policy'!$A$2:$A$5,0))</f>
        <v>8</v>
      </c>
      <c r="M661" s="2" t="str">
        <f aca="false">IF(K661="","Open",IF(K661&lt;=L661,"Yes","No"))</f>
        <v>No</v>
      </c>
    </row>
    <row r="662" customFormat="false" ht="15" hidden="false" customHeight="false" outlineLevel="0" collapsed="false">
      <c r="A662" s="2" t="s">
        <v>696</v>
      </c>
      <c r="B662" s="7" t="n">
        <v>46114.4354166667</v>
      </c>
      <c r="C662" s="7" t="n">
        <v>46115.21875</v>
      </c>
      <c r="D662" s="2" t="s">
        <v>22</v>
      </c>
      <c r="E662" s="2" t="s">
        <v>35</v>
      </c>
      <c r="F662" s="2" t="s">
        <v>24</v>
      </c>
      <c r="G662" s="2" t="s">
        <v>25</v>
      </c>
      <c r="H662" s="2" t="n">
        <v>4</v>
      </c>
      <c r="I662" s="2" t="str">
        <f aca="false">IF(C662="","Open","Resolved")</f>
        <v>Resolved</v>
      </c>
      <c r="J662" s="2" t="str">
        <f aca="false">TEXT(B662,"yyyy-mm")</f>
        <v>2026-04</v>
      </c>
      <c r="K662" s="8" t="n">
        <f aca="false">IF(C662="","",ROUND((C662-B662)*24,2))</f>
        <v>18.8</v>
      </c>
      <c r="L662" s="2" t="n">
        <f aca="false">INDEX('SLA Policy'!$B$2:$B$5,MATCH(E662,'SLA Policy'!$A$2:$A$5,0))</f>
        <v>24</v>
      </c>
      <c r="M662" s="2" t="str">
        <f aca="false">IF(K662="","Open",IF(K662&lt;=L662,"Yes","No"))</f>
        <v>Yes</v>
      </c>
    </row>
    <row r="663" customFormat="false" ht="15" hidden="false" customHeight="false" outlineLevel="0" collapsed="false">
      <c r="A663" s="2" t="s">
        <v>697</v>
      </c>
      <c r="B663" s="7" t="n">
        <v>46114.4645833333</v>
      </c>
      <c r="C663" s="7" t="n">
        <v>46115.0972222222</v>
      </c>
      <c r="D663" s="2" t="s">
        <v>31</v>
      </c>
      <c r="E663" s="2" t="s">
        <v>35</v>
      </c>
      <c r="F663" s="2" t="s">
        <v>24</v>
      </c>
      <c r="G663" s="2" t="s">
        <v>33</v>
      </c>
      <c r="H663" s="2" t="n">
        <v>5</v>
      </c>
      <c r="I663" s="2" t="str">
        <f aca="false">IF(C663="","Open","Resolved")</f>
        <v>Resolved</v>
      </c>
      <c r="J663" s="2" t="str">
        <f aca="false">TEXT(B663,"yyyy-mm")</f>
        <v>2026-04</v>
      </c>
      <c r="K663" s="8" t="n">
        <f aca="false">IF(C663="","",ROUND((C663-B663)*24,2))</f>
        <v>15.18</v>
      </c>
      <c r="L663" s="2" t="n">
        <f aca="false">INDEX('SLA Policy'!$B$2:$B$5,MATCH(E663,'SLA Policy'!$A$2:$A$5,0))</f>
        <v>24</v>
      </c>
      <c r="M663" s="2" t="str">
        <f aca="false">IF(K663="","Open",IF(K663&lt;=L663,"Yes","No"))</f>
        <v>Yes</v>
      </c>
    </row>
    <row r="664" customFormat="false" ht="15" hidden="false" customHeight="false" outlineLevel="0" collapsed="false">
      <c r="A664" s="2" t="s">
        <v>698</v>
      </c>
      <c r="B664" s="7" t="n">
        <v>46114.5125</v>
      </c>
      <c r="C664" s="7" t="n">
        <v>46115.4201388889</v>
      </c>
      <c r="D664" s="2" t="s">
        <v>22</v>
      </c>
      <c r="E664" s="2" t="s">
        <v>35</v>
      </c>
      <c r="F664" s="2" t="s">
        <v>24</v>
      </c>
      <c r="G664" s="2" t="s">
        <v>25</v>
      </c>
      <c r="H664" s="2" t="n">
        <v>5</v>
      </c>
      <c r="I664" s="2" t="str">
        <f aca="false">IF(C664="","Open","Resolved")</f>
        <v>Resolved</v>
      </c>
      <c r="J664" s="2" t="str">
        <f aca="false">TEXT(B664,"yyyy-mm")</f>
        <v>2026-04</v>
      </c>
      <c r="K664" s="8" t="n">
        <f aca="false">IF(C664="","",ROUND((C664-B664)*24,2))</f>
        <v>21.78</v>
      </c>
      <c r="L664" s="2" t="n">
        <f aca="false">INDEX('SLA Policy'!$B$2:$B$5,MATCH(E664,'SLA Policy'!$A$2:$A$5,0))</f>
        <v>24</v>
      </c>
      <c r="M664" s="2" t="str">
        <f aca="false">IF(K664="","Open",IF(K664&lt;=L664,"Yes","No"))</f>
        <v>Yes</v>
      </c>
    </row>
    <row r="665" customFormat="false" ht="15" hidden="false" customHeight="false" outlineLevel="0" collapsed="false">
      <c r="A665" s="2" t="s">
        <v>699</v>
      </c>
      <c r="B665" s="7" t="n">
        <v>46114.5166666667</v>
      </c>
      <c r="C665" s="7" t="n">
        <v>46115.3590277778</v>
      </c>
      <c r="D665" s="2" t="s">
        <v>48</v>
      </c>
      <c r="E665" s="2" t="s">
        <v>23</v>
      </c>
      <c r="F665" s="2" t="s">
        <v>28</v>
      </c>
      <c r="G665" s="2" t="s">
        <v>25</v>
      </c>
      <c r="H665" s="2" t="n">
        <v>5</v>
      </c>
      <c r="I665" s="2" t="str">
        <f aca="false">IF(C665="","Open","Resolved")</f>
        <v>Resolved</v>
      </c>
      <c r="J665" s="2" t="str">
        <f aca="false">TEXT(B665,"yyyy-mm")</f>
        <v>2026-04</v>
      </c>
      <c r="K665" s="8" t="n">
        <f aca="false">IF(C665="","",ROUND((C665-B665)*24,2))</f>
        <v>20.22</v>
      </c>
      <c r="L665" s="2" t="n">
        <f aca="false">INDEX('SLA Policy'!$B$2:$B$5,MATCH(E665,'SLA Policy'!$A$2:$A$5,0))</f>
        <v>8</v>
      </c>
      <c r="M665" s="2" t="str">
        <f aca="false">IF(K665="","Open",IF(K665&lt;=L665,"Yes","No"))</f>
        <v>No</v>
      </c>
    </row>
    <row r="666" customFormat="false" ht="15" hidden="false" customHeight="false" outlineLevel="0" collapsed="false">
      <c r="A666" s="2" t="s">
        <v>700</v>
      </c>
      <c r="B666" s="7" t="n">
        <v>46114.5854166667</v>
      </c>
      <c r="C666" s="7" t="n">
        <v>46114.7423611111</v>
      </c>
      <c r="D666" s="2" t="s">
        <v>31</v>
      </c>
      <c r="E666" s="2" t="s">
        <v>23</v>
      </c>
      <c r="F666" s="2" t="s">
        <v>27</v>
      </c>
      <c r="G666" s="2" t="s">
        <v>33</v>
      </c>
      <c r="H666" s="2" t="n">
        <v>5</v>
      </c>
      <c r="I666" s="2" t="str">
        <f aca="false">IF(C666="","Open","Resolved")</f>
        <v>Resolved</v>
      </c>
      <c r="J666" s="2" t="str">
        <f aca="false">TEXT(B666,"yyyy-mm")</f>
        <v>2026-04</v>
      </c>
      <c r="K666" s="8" t="n">
        <f aca="false">IF(C666="","",ROUND((C666-B666)*24,2))</f>
        <v>3.77</v>
      </c>
      <c r="L666" s="2" t="n">
        <f aca="false">INDEX('SLA Policy'!$B$2:$B$5,MATCH(E666,'SLA Policy'!$A$2:$A$5,0))</f>
        <v>8</v>
      </c>
      <c r="M666" s="2" t="str">
        <f aca="false">IF(K666="","Open",IF(K666&lt;=L666,"Yes","No"))</f>
        <v>Yes</v>
      </c>
    </row>
    <row r="667" customFormat="false" ht="15" hidden="false" customHeight="false" outlineLevel="0" collapsed="false">
      <c r="A667" s="2" t="s">
        <v>701</v>
      </c>
      <c r="B667" s="7" t="n">
        <v>46115.3138888889</v>
      </c>
      <c r="C667" s="7" t="n">
        <v>46115.7104166667</v>
      </c>
      <c r="D667" s="2" t="s">
        <v>31</v>
      </c>
      <c r="E667" s="2" t="s">
        <v>35</v>
      </c>
      <c r="F667" s="2" t="s">
        <v>27</v>
      </c>
      <c r="G667" s="2" t="s">
        <v>33</v>
      </c>
      <c r="H667" s="2" t="n">
        <v>4</v>
      </c>
      <c r="I667" s="2" t="str">
        <f aca="false">IF(C667="","Open","Resolved")</f>
        <v>Resolved</v>
      </c>
      <c r="J667" s="2" t="str">
        <f aca="false">TEXT(B667,"yyyy-mm")</f>
        <v>2026-04</v>
      </c>
      <c r="K667" s="8" t="n">
        <f aca="false">IF(C667="","",ROUND((C667-B667)*24,2))</f>
        <v>9.52</v>
      </c>
      <c r="L667" s="2" t="n">
        <f aca="false">INDEX('SLA Policy'!$B$2:$B$5,MATCH(E667,'SLA Policy'!$A$2:$A$5,0))</f>
        <v>24</v>
      </c>
      <c r="M667" s="2" t="str">
        <f aca="false">IF(K667="","Open",IF(K667&lt;=L667,"Yes","No"))</f>
        <v>Yes</v>
      </c>
    </row>
    <row r="668" customFormat="false" ht="15" hidden="false" customHeight="false" outlineLevel="0" collapsed="false">
      <c r="A668" s="2" t="s">
        <v>702</v>
      </c>
      <c r="B668" s="7" t="n">
        <v>46115.3805555556</v>
      </c>
      <c r="C668" s="7" t="n">
        <v>46117.3701388889</v>
      </c>
      <c r="D668" s="2" t="s">
        <v>48</v>
      </c>
      <c r="E668" s="2" t="s">
        <v>35</v>
      </c>
      <c r="F668" s="2" t="s">
        <v>27</v>
      </c>
      <c r="G668" s="2" t="s">
        <v>25</v>
      </c>
      <c r="H668" s="2" t="n">
        <v>3</v>
      </c>
      <c r="I668" s="2" t="str">
        <f aca="false">IF(C668="","Open","Resolved")</f>
        <v>Resolved</v>
      </c>
      <c r="J668" s="2" t="str">
        <f aca="false">TEXT(B668,"yyyy-mm")</f>
        <v>2026-04</v>
      </c>
      <c r="K668" s="8" t="n">
        <f aca="false">IF(C668="","",ROUND((C668-B668)*24,2))</f>
        <v>47.75</v>
      </c>
      <c r="L668" s="2" t="n">
        <f aca="false">INDEX('SLA Policy'!$B$2:$B$5,MATCH(E668,'SLA Policy'!$A$2:$A$5,0))</f>
        <v>24</v>
      </c>
      <c r="M668" s="2" t="str">
        <f aca="false">IF(K668="","Open",IF(K668&lt;=L668,"Yes","No"))</f>
        <v>No</v>
      </c>
    </row>
    <row r="669" customFormat="false" ht="15" hidden="false" customHeight="false" outlineLevel="0" collapsed="false">
      <c r="A669" s="2" t="s">
        <v>703</v>
      </c>
      <c r="B669" s="7" t="n">
        <v>46115.4409722222</v>
      </c>
      <c r="C669" s="7" t="n">
        <v>46115.84375</v>
      </c>
      <c r="D669" s="2" t="s">
        <v>42</v>
      </c>
      <c r="E669" s="2" t="s">
        <v>35</v>
      </c>
      <c r="F669" s="2" t="s">
        <v>38</v>
      </c>
      <c r="G669" s="2" t="s">
        <v>29</v>
      </c>
      <c r="H669" s="2" t="n">
        <v>5</v>
      </c>
      <c r="I669" s="2" t="str">
        <f aca="false">IF(C669="","Open","Resolved")</f>
        <v>Resolved</v>
      </c>
      <c r="J669" s="2" t="str">
        <f aca="false">TEXT(B669,"yyyy-mm")</f>
        <v>2026-04</v>
      </c>
      <c r="K669" s="8" t="n">
        <f aca="false">IF(C669="","",ROUND((C669-B669)*24,2))</f>
        <v>9.67</v>
      </c>
      <c r="L669" s="2" t="n">
        <f aca="false">INDEX('SLA Policy'!$B$2:$B$5,MATCH(E669,'SLA Policy'!$A$2:$A$5,0))</f>
        <v>24</v>
      </c>
      <c r="M669" s="2" t="str">
        <f aca="false">IF(K669="","Open",IF(K669&lt;=L669,"Yes","No"))</f>
        <v>Yes</v>
      </c>
    </row>
    <row r="670" customFormat="false" ht="15" hidden="false" customHeight="false" outlineLevel="0" collapsed="false">
      <c r="A670" s="2" t="s">
        <v>704</v>
      </c>
      <c r="B670" s="7" t="n">
        <v>46115.4486111111</v>
      </c>
      <c r="C670" s="7" t="n">
        <v>46116.0381944445</v>
      </c>
      <c r="D670" s="2" t="s">
        <v>42</v>
      </c>
      <c r="E670" s="2" t="s">
        <v>35</v>
      </c>
      <c r="F670" s="2" t="s">
        <v>38</v>
      </c>
      <c r="G670" s="2" t="s">
        <v>29</v>
      </c>
      <c r="H670" s="2" t="n">
        <v>4</v>
      </c>
      <c r="I670" s="2" t="str">
        <f aca="false">IF(C670="","Open","Resolved")</f>
        <v>Resolved</v>
      </c>
      <c r="J670" s="2" t="str">
        <f aca="false">TEXT(B670,"yyyy-mm")</f>
        <v>2026-04</v>
      </c>
      <c r="K670" s="8" t="n">
        <f aca="false">IF(C670="","",ROUND((C670-B670)*24,2))</f>
        <v>14.15</v>
      </c>
      <c r="L670" s="2" t="n">
        <f aca="false">INDEX('SLA Policy'!$B$2:$B$5,MATCH(E670,'SLA Policy'!$A$2:$A$5,0))</f>
        <v>24</v>
      </c>
      <c r="M670" s="2" t="str">
        <f aca="false">IF(K670="","Open",IF(K670&lt;=L670,"Yes","No"))</f>
        <v>Yes</v>
      </c>
    </row>
    <row r="671" customFormat="false" ht="15" hidden="false" customHeight="false" outlineLevel="0" collapsed="false">
      <c r="A671" s="2" t="s">
        <v>705</v>
      </c>
      <c r="B671" s="7" t="n">
        <v>46115.7854166667</v>
      </c>
      <c r="C671" s="7" t="n">
        <v>46115.8902777778</v>
      </c>
      <c r="D671" s="2" t="s">
        <v>31</v>
      </c>
      <c r="E671" s="2" t="s">
        <v>40</v>
      </c>
      <c r="F671" s="2" t="s">
        <v>27</v>
      </c>
      <c r="G671" s="2" t="s">
        <v>33</v>
      </c>
      <c r="H671" s="2" t="n">
        <v>5</v>
      </c>
      <c r="I671" s="2" t="str">
        <f aca="false">IF(C671="","Open","Resolved")</f>
        <v>Resolved</v>
      </c>
      <c r="J671" s="2" t="str">
        <f aca="false">TEXT(B671,"yyyy-mm")</f>
        <v>2026-04</v>
      </c>
      <c r="K671" s="8" t="n">
        <f aca="false">IF(C671="","",ROUND((C671-B671)*24,2))</f>
        <v>2.52</v>
      </c>
      <c r="L671" s="2" t="n">
        <f aca="false">INDEX('SLA Policy'!$B$2:$B$5,MATCH(E671,'SLA Policy'!$A$2:$A$5,0))</f>
        <v>4</v>
      </c>
      <c r="M671" s="2" t="str">
        <f aca="false">IF(K671="","Open",IF(K671&lt;=L671,"Yes","No"))</f>
        <v>Yes</v>
      </c>
    </row>
    <row r="672" customFormat="false" ht="15" hidden="false" customHeight="false" outlineLevel="0" collapsed="false">
      <c r="A672" s="2" t="s">
        <v>706</v>
      </c>
      <c r="B672" s="7" t="n">
        <v>46116.6236111111</v>
      </c>
      <c r="C672" s="7" t="n">
        <v>46117.3090277778</v>
      </c>
      <c r="D672" s="2" t="s">
        <v>22</v>
      </c>
      <c r="E672" s="2" t="s">
        <v>23</v>
      </c>
      <c r="F672" s="2" t="s">
        <v>24</v>
      </c>
      <c r="G672" s="2" t="s">
        <v>25</v>
      </c>
      <c r="H672" s="2" t="n">
        <v>4</v>
      </c>
      <c r="I672" s="2" t="str">
        <f aca="false">IF(C672="","Open","Resolved")</f>
        <v>Resolved</v>
      </c>
      <c r="J672" s="2" t="str">
        <f aca="false">TEXT(B672,"yyyy-mm")</f>
        <v>2026-04</v>
      </c>
      <c r="K672" s="8" t="n">
        <f aca="false">IF(C672="","",ROUND((C672-B672)*24,2))</f>
        <v>16.45</v>
      </c>
      <c r="L672" s="2" t="n">
        <f aca="false">INDEX('SLA Policy'!$B$2:$B$5,MATCH(E672,'SLA Policy'!$A$2:$A$5,0))</f>
        <v>8</v>
      </c>
      <c r="M672" s="2" t="str">
        <f aca="false">IF(K672="","Open",IF(K672&lt;=L672,"Yes","No"))</f>
        <v>No</v>
      </c>
    </row>
    <row r="673" customFormat="false" ht="15" hidden="false" customHeight="false" outlineLevel="0" collapsed="false">
      <c r="A673" s="2" t="s">
        <v>707</v>
      </c>
      <c r="B673" s="7" t="n">
        <v>46117.4152777778</v>
      </c>
      <c r="C673" s="7" t="n">
        <v>46118.9416666667</v>
      </c>
      <c r="D673" s="2" t="s">
        <v>22</v>
      </c>
      <c r="E673" s="2" t="s">
        <v>35</v>
      </c>
      <c r="F673" s="2" t="s">
        <v>28</v>
      </c>
      <c r="G673" s="2" t="s">
        <v>25</v>
      </c>
      <c r="H673" s="2" t="n">
        <v>5</v>
      </c>
      <c r="I673" s="2" t="str">
        <f aca="false">IF(C673="","Open","Resolved")</f>
        <v>Resolved</v>
      </c>
      <c r="J673" s="2" t="str">
        <f aca="false">TEXT(B673,"yyyy-mm")</f>
        <v>2026-04</v>
      </c>
      <c r="K673" s="8" t="n">
        <f aca="false">IF(C673="","",ROUND((C673-B673)*24,2))</f>
        <v>36.63</v>
      </c>
      <c r="L673" s="2" t="n">
        <f aca="false">INDEX('SLA Policy'!$B$2:$B$5,MATCH(E673,'SLA Policy'!$A$2:$A$5,0))</f>
        <v>24</v>
      </c>
      <c r="M673" s="2" t="str">
        <f aca="false">IF(K673="","Open",IF(K673&lt;=L673,"Yes","No"))</f>
        <v>No</v>
      </c>
    </row>
    <row r="674" customFormat="false" ht="15" hidden="false" customHeight="false" outlineLevel="0" collapsed="false">
      <c r="A674" s="2" t="s">
        <v>708</v>
      </c>
      <c r="B674" s="7" t="n">
        <v>46117.5402777778</v>
      </c>
      <c r="C674" s="7" t="n">
        <v>46118.7729166667</v>
      </c>
      <c r="D674" s="2" t="s">
        <v>22</v>
      </c>
      <c r="E674" s="2" t="s">
        <v>35</v>
      </c>
      <c r="F674" s="2" t="s">
        <v>27</v>
      </c>
      <c r="G674" s="2" t="s">
        <v>25</v>
      </c>
      <c r="H674" s="2" t="n">
        <v>3</v>
      </c>
      <c r="I674" s="2" t="str">
        <f aca="false">IF(C674="","Open","Resolved")</f>
        <v>Resolved</v>
      </c>
      <c r="J674" s="2" t="str">
        <f aca="false">TEXT(B674,"yyyy-mm")</f>
        <v>2026-04</v>
      </c>
      <c r="K674" s="8" t="n">
        <f aca="false">IF(C674="","",ROUND((C674-B674)*24,2))</f>
        <v>29.58</v>
      </c>
      <c r="L674" s="2" t="n">
        <f aca="false">INDEX('SLA Policy'!$B$2:$B$5,MATCH(E674,'SLA Policy'!$A$2:$A$5,0))</f>
        <v>24</v>
      </c>
      <c r="M674" s="2" t="str">
        <f aca="false">IF(K674="","Open",IF(K674&lt;=L674,"Yes","No"))</f>
        <v>No</v>
      </c>
    </row>
    <row r="675" customFormat="false" ht="15" hidden="false" customHeight="false" outlineLevel="0" collapsed="false">
      <c r="A675" s="2" t="s">
        <v>709</v>
      </c>
      <c r="B675" s="7" t="n">
        <v>46117.5715277778</v>
      </c>
      <c r="C675" s="7" t="n">
        <v>46117.8479166667</v>
      </c>
      <c r="D675" s="2" t="s">
        <v>42</v>
      </c>
      <c r="E675" s="2" t="s">
        <v>35</v>
      </c>
      <c r="F675" s="2" t="s">
        <v>24</v>
      </c>
      <c r="G675" s="2" t="s">
        <v>29</v>
      </c>
      <c r="H675" s="2" t="n">
        <v>5</v>
      </c>
      <c r="I675" s="2" t="str">
        <f aca="false">IF(C675="","Open","Resolved")</f>
        <v>Resolved</v>
      </c>
      <c r="J675" s="2" t="str">
        <f aca="false">TEXT(B675,"yyyy-mm")</f>
        <v>2026-04</v>
      </c>
      <c r="K675" s="8" t="n">
        <f aca="false">IF(C675="","",ROUND((C675-B675)*24,2))</f>
        <v>6.63</v>
      </c>
      <c r="L675" s="2" t="n">
        <f aca="false">INDEX('SLA Policy'!$B$2:$B$5,MATCH(E675,'SLA Policy'!$A$2:$A$5,0))</f>
        <v>24</v>
      </c>
      <c r="M675" s="2" t="str">
        <f aca="false">IF(K675="","Open",IF(K675&lt;=L675,"Yes","No"))</f>
        <v>Yes</v>
      </c>
    </row>
    <row r="676" customFormat="false" ht="15" hidden="false" customHeight="false" outlineLevel="0" collapsed="false">
      <c r="A676" s="2" t="s">
        <v>710</v>
      </c>
      <c r="B676" s="7" t="n">
        <v>46118.4763888889</v>
      </c>
      <c r="C676" s="7" t="n">
        <v>46121.1159722222</v>
      </c>
      <c r="D676" s="2" t="s">
        <v>31</v>
      </c>
      <c r="E676" s="2" t="s">
        <v>32</v>
      </c>
      <c r="F676" s="2" t="s">
        <v>24</v>
      </c>
      <c r="G676" s="2" t="s">
        <v>33</v>
      </c>
      <c r="H676" s="2" t="n">
        <v>2</v>
      </c>
      <c r="I676" s="2" t="str">
        <f aca="false">IF(C676="","Open","Resolved")</f>
        <v>Resolved</v>
      </c>
      <c r="J676" s="2" t="str">
        <f aca="false">TEXT(B676,"yyyy-mm")</f>
        <v>2026-04</v>
      </c>
      <c r="K676" s="8" t="n">
        <f aca="false">IF(C676="","",ROUND((C676-B676)*24,2))</f>
        <v>63.35</v>
      </c>
      <c r="L676" s="2" t="n">
        <f aca="false">INDEX('SLA Policy'!$B$2:$B$5,MATCH(E676,'SLA Policy'!$A$2:$A$5,0))</f>
        <v>72</v>
      </c>
      <c r="M676" s="2" t="str">
        <f aca="false">IF(K676="","Open",IF(K676&lt;=L676,"Yes","No"))</f>
        <v>Yes</v>
      </c>
    </row>
    <row r="677" customFormat="false" ht="15" hidden="false" customHeight="false" outlineLevel="0" collapsed="false">
      <c r="A677" s="2" t="s">
        <v>711</v>
      </c>
      <c r="B677" s="7" t="n">
        <v>46118.5479166667</v>
      </c>
      <c r="C677" s="7" t="n">
        <v>46119.2236111111</v>
      </c>
      <c r="D677" s="2" t="s">
        <v>31</v>
      </c>
      <c r="E677" s="2" t="s">
        <v>32</v>
      </c>
      <c r="F677" s="2" t="s">
        <v>24</v>
      </c>
      <c r="G677" s="2" t="s">
        <v>33</v>
      </c>
      <c r="H677" s="2" t="n">
        <v>5</v>
      </c>
      <c r="I677" s="2" t="str">
        <f aca="false">IF(C677="","Open","Resolved")</f>
        <v>Resolved</v>
      </c>
      <c r="J677" s="2" t="str">
        <f aca="false">TEXT(B677,"yyyy-mm")</f>
        <v>2026-04</v>
      </c>
      <c r="K677" s="8" t="n">
        <f aca="false">IF(C677="","",ROUND((C677-B677)*24,2))</f>
        <v>16.22</v>
      </c>
      <c r="L677" s="2" t="n">
        <f aca="false">INDEX('SLA Policy'!$B$2:$B$5,MATCH(E677,'SLA Policy'!$A$2:$A$5,0))</f>
        <v>72</v>
      </c>
      <c r="M677" s="2" t="str">
        <f aca="false">IF(K677="","Open",IF(K677&lt;=L677,"Yes","No"))</f>
        <v>Yes</v>
      </c>
    </row>
    <row r="678" customFormat="false" ht="15" hidden="false" customHeight="false" outlineLevel="0" collapsed="false">
      <c r="A678" s="2" t="s">
        <v>712</v>
      </c>
      <c r="B678" s="7" t="n">
        <v>46118.5798611111</v>
      </c>
      <c r="C678" s="7" t="n">
        <v>46119.7173611111</v>
      </c>
      <c r="D678" s="2" t="s">
        <v>22</v>
      </c>
      <c r="E678" s="2" t="s">
        <v>35</v>
      </c>
      <c r="F678" s="2" t="s">
        <v>27</v>
      </c>
      <c r="G678" s="2" t="s">
        <v>25</v>
      </c>
      <c r="H678" s="2" t="n">
        <v>4</v>
      </c>
      <c r="I678" s="2" t="str">
        <f aca="false">IF(C678="","Open","Resolved")</f>
        <v>Resolved</v>
      </c>
      <c r="J678" s="2" t="str">
        <f aca="false">TEXT(B678,"yyyy-mm")</f>
        <v>2026-04</v>
      </c>
      <c r="K678" s="8" t="n">
        <f aca="false">IF(C678="","",ROUND((C678-B678)*24,2))</f>
        <v>27.3</v>
      </c>
      <c r="L678" s="2" t="n">
        <f aca="false">INDEX('SLA Policy'!$B$2:$B$5,MATCH(E678,'SLA Policy'!$A$2:$A$5,0))</f>
        <v>24</v>
      </c>
      <c r="M678" s="2" t="str">
        <f aca="false">IF(K678="","Open",IF(K678&lt;=L678,"Yes","No"))</f>
        <v>No</v>
      </c>
    </row>
    <row r="679" customFormat="false" ht="15" hidden="false" customHeight="false" outlineLevel="0" collapsed="false">
      <c r="A679" s="2" t="s">
        <v>713</v>
      </c>
      <c r="B679" s="7" t="n">
        <v>46118.7354166667</v>
      </c>
      <c r="C679" s="7" t="n">
        <v>46118.9638888889</v>
      </c>
      <c r="D679" s="2" t="s">
        <v>31</v>
      </c>
      <c r="E679" s="2" t="s">
        <v>23</v>
      </c>
      <c r="F679" s="2" t="s">
        <v>27</v>
      </c>
      <c r="G679" s="2" t="s">
        <v>33</v>
      </c>
      <c r="H679" s="2" t="n">
        <v>5</v>
      </c>
      <c r="I679" s="2" t="str">
        <f aca="false">IF(C679="","Open","Resolved")</f>
        <v>Resolved</v>
      </c>
      <c r="J679" s="2" t="str">
        <f aca="false">TEXT(B679,"yyyy-mm")</f>
        <v>2026-04</v>
      </c>
      <c r="K679" s="8" t="n">
        <f aca="false">IF(C679="","",ROUND((C679-B679)*24,2))</f>
        <v>5.48</v>
      </c>
      <c r="L679" s="2" t="n">
        <f aca="false">INDEX('SLA Policy'!$B$2:$B$5,MATCH(E679,'SLA Policy'!$A$2:$A$5,0))</f>
        <v>8</v>
      </c>
      <c r="M679" s="2" t="str">
        <f aca="false">IF(K679="","Open",IF(K679&lt;=L679,"Yes","No"))</f>
        <v>Yes</v>
      </c>
    </row>
    <row r="680" customFormat="false" ht="15" hidden="false" customHeight="false" outlineLevel="0" collapsed="false">
      <c r="A680" s="2" t="s">
        <v>714</v>
      </c>
      <c r="B680" s="7" t="n">
        <v>46118.7569444445</v>
      </c>
      <c r="C680" s="7" t="n">
        <v>46118.8875</v>
      </c>
      <c r="D680" s="2" t="s">
        <v>42</v>
      </c>
      <c r="E680" s="2" t="s">
        <v>40</v>
      </c>
      <c r="F680" s="2" t="s">
        <v>24</v>
      </c>
      <c r="G680" s="2" t="s">
        <v>29</v>
      </c>
      <c r="H680" s="2" t="n">
        <v>5</v>
      </c>
      <c r="I680" s="2" t="str">
        <f aca="false">IF(C680="","Open","Resolved")</f>
        <v>Resolved</v>
      </c>
      <c r="J680" s="2" t="str">
        <f aca="false">TEXT(B680,"yyyy-mm")</f>
        <v>2026-04</v>
      </c>
      <c r="K680" s="8" t="n">
        <f aca="false">IF(C680="","",ROUND((C680-B680)*24,2))</f>
        <v>3.13</v>
      </c>
      <c r="L680" s="2" t="n">
        <f aca="false">INDEX('SLA Policy'!$B$2:$B$5,MATCH(E680,'SLA Policy'!$A$2:$A$5,0))</f>
        <v>4</v>
      </c>
      <c r="M680" s="2" t="str">
        <f aca="false">IF(K680="","Open",IF(K680&lt;=L680,"Yes","No"))</f>
        <v>Yes</v>
      </c>
    </row>
    <row r="681" customFormat="false" ht="15" hidden="false" customHeight="false" outlineLevel="0" collapsed="false">
      <c r="A681" s="2" t="s">
        <v>715</v>
      </c>
      <c r="B681" s="7" t="n">
        <v>46118.7881944445</v>
      </c>
      <c r="C681" s="7" t="n">
        <v>46121.3291666667</v>
      </c>
      <c r="D681" s="2" t="s">
        <v>22</v>
      </c>
      <c r="E681" s="2" t="s">
        <v>35</v>
      </c>
      <c r="F681" s="2" t="s">
        <v>24</v>
      </c>
      <c r="G681" s="2" t="s">
        <v>25</v>
      </c>
      <c r="H681" s="2" t="n">
        <v>4</v>
      </c>
      <c r="I681" s="2" t="str">
        <f aca="false">IF(C681="","Open","Resolved")</f>
        <v>Resolved</v>
      </c>
      <c r="J681" s="2" t="str">
        <f aca="false">TEXT(B681,"yyyy-mm")</f>
        <v>2026-04</v>
      </c>
      <c r="K681" s="8" t="n">
        <f aca="false">IF(C681="","",ROUND((C681-B681)*24,2))</f>
        <v>60.98</v>
      </c>
      <c r="L681" s="2" t="n">
        <f aca="false">INDEX('SLA Policy'!$B$2:$B$5,MATCH(E681,'SLA Policy'!$A$2:$A$5,0))</f>
        <v>24</v>
      </c>
      <c r="M681" s="2" t="str">
        <f aca="false">IF(K681="","Open",IF(K681&lt;=L681,"Yes","No"))</f>
        <v>No</v>
      </c>
    </row>
    <row r="682" customFormat="false" ht="15" hidden="false" customHeight="false" outlineLevel="0" collapsed="false">
      <c r="A682" s="2" t="s">
        <v>716</v>
      </c>
      <c r="B682" s="7" t="n">
        <v>46119.3645833333</v>
      </c>
      <c r="C682" s="7" t="n">
        <v>46120.7652777778</v>
      </c>
      <c r="D682" s="2" t="s">
        <v>31</v>
      </c>
      <c r="E682" s="2" t="s">
        <v>35</v>
      </c>
      <c r="F682" s="2" t="s">
        <v>24</v>
      </c>
      <c r="G682" s="2" t="s">
        <v>33</v>
      </c>
      <c r="H682" s="2" t="n">
        <v>3</v>
      </c>
      <c r="I682" s="2" t="str">
        <f aca="false">IF(C682="","Open","Resolved")</f>
        <v>Resolved</v>
      </c>
      <c r="J682" s="2" t="str">
        <f aca="false">TEXT(B682,"yyyy-mm")</f>
        <v>2026-04</v>
      </c>
      <c r="K682" s="8" t="n">
        <f aca="false">IF(C682="","",ROUND((C682-B682)*24,2))</f>
        <v>33.62</v>
      </c>
      <c r="L682" s="2" t="n">
        <f aca="false">INDEX('SLA Policy'!$B$2:$B$5,MATCH(E682,'SLA Policy'!$A$2:$A$5,0))</f>
        <v>24</v>
      </c>
      <c r="M682" s="2" t="str">
        <f aca="false">IF(K682="","Open",IF(K682&lt;=L682,"Yes","No"))</f>
        <v>No</v>
      </c>
    </row>
    <row r="683" customFormat="false" ht="15" hidden="false" customHeight="false" outlineLevel="0" collapsed="false">
      <c r="A683" s="2" t="s">
        <v>717</v>
      </c>
      <c r="B683" s="7" t="n">
        <v>46119.3736111111</v>
      </c>
      <c r="C683" s="7" t="n">
        <v>46120.0368055556</v>
      </c>
      <c r="D683" s="2" t="s">
        <v>22</v>
      </c>
      <c r="E683" s="2" t="s">
        <v>35</v>
      </c>
      <c r="F683" s="2" t="s">
        <v>27</v>
      </c>
      <c r="G683" s="2" t="s">
        <v>25</v>
      </c>
      <c r="H683" s="2" t="n">
        <v>5</v>
      </c>
      <c r="I683" s="2" t="str">
        <f aca="false">IF(C683="","Open","Resolved")</f>
        <v>Resolved</v>
      </c>
      <c r="J683" s="2" t="str">
        <f aca="false">TEXT(B683,"yyyy-mm")</f>
        <v>2026-04</v>
      </c>
      <c r="K683" s="8" t="n">
        <f aca="false">IF(C683="","",ROUND((C683-B683)*24,2))</f>
        <v>15.92</v>
      </c>
      <c r="L683" s="2" t="n">
        <f aca="false">INDEX('SLA Policy'!$B$2:$B$5,MATCH(E683,'SLA Policy'!$A$2:$A$5,0))</f>
        <v>24</v>
      </c>
      <c r="M683" s="2" t="str">
        <f aca="false">IF(K683="","Open",IF(K683&lt;=L683,"Yes","No"))</f>
        <v>Yes</v>
      </c>
    </row>
    <row r="684" customFormat="false" ht="15" hidden="false" customHeight="false" outlineLevel="0" collapsed="false">
      <c r="A684" s="2" t="s">
        <v>718</v>
      </c>
      <c r="B684" s="7" t="n">
        <v>46119.3805555556</v>
      </c>
      <c r="C684" s="7" t="n">
        <v>46119.5375</v>
      </c>
      <c r="D684" s="2" t="s">
        <v>31</v>
      </c>
      <c r="E684" s="2" t="s">
        <v>35</v>
      </c>
      <c r="F684" s="2" t="s">
        <v>27</v>
      </c>
      <c r="G684" s="2" t="s">
        <v>33</v>
      </c>
      <c r="H684" s="2" t="n">
        <v>3</v>
      </c>
      <c r="I684" s="2" t="str">
        <f aca="false">IF(C684="","Open","Resolved")</f>
        <v>Resolved</v>
      </c>
      <c r="J684" s="2" t="str">
        <f aca="false">TEXT(B684,"yyyy-mm")</f>
        <v>2026-04</v>
      </c>
      <c r="K684" s="8" t="n">
        <f aca="false">IF(C684="","",ROUND((C684-B684)*24,2))</f>
        <v>3.77</v>
      </c>
      <c r="L684" s="2" t="n">
        <f aca="false">INDEX('SLA Policy'!$B$2:$B$5,MATCH(E684,'SLA Policy'!$A$2:$A$5,0))</f>
        <v>24</v>
      </c>
      <c r="M684" s="2" t="str">
        <f aca="false">IF(K684="","Open",IF(K684&lt;=L684,"Yes","No"))</f>
        <v>Yes</v>
      </c>
    </row>
    <row r="685" customFormat="false" ht="15" hidden="false" customHeight="false" outlineLevel="0" collapsed="false">
      <c r="A685" s="2" t="s">
        <v>719</v>
      </c>
      <c r="B685" s="7" t="n">
        <v>46119.5215277778</v>
      </c>
      <c r="C685" s="7" t="n">
        <v>46119.8868055556</v>
      </c>
      <c r="D685" s="2" t="s">
        <v>27</v>
      </c>
      <c r="E685" s="2" t="s">
        <v>23</v>
      </c>
      <c r="F685" s="2" t="s">
        <v>27</v>
      </c>
      <c r="G685" s="2" t="s">
        <v>29</v>
      </c>
      <c r="H685" s="2" t="n">
        <v>5</v>
      </c>
      <c r="I685" s="2" t="str">
        <f aca="false">IF(C685="","Open","Resolved")</f>
        <v>Resolved</v>
      </c>
      <c r="J685" s="2" t="str">
        <f aca="false">TEXT(B685,"yyyy-mm")</f>
        <v>2026-04</v>
      </c>
      <c r="K685" s="8" t="n">
        <f aca="false">IF(C685="","",ROUND((C685-B685)*24,2))</f>
        <v>8.77</v>
      </c>
      <c r="L685" s="2" t="n">
        <f aca="false">INDEX('SLA Policy'!$B$2:$B$5,MATCH(E685,'SLA Policy'!$A$2:$A$5,0))</f>
        <v>8</v>
      </c>
      <c r="M685" s="2" t="str">
        <f aca="false">IF(K685="","Open",IF(K685&lt;=L685,"Yes","No"))</f>
        <v>No</v>
      </c>
    </row>
    <row r="686" customFormat="false" ht="15" hidden="false" customHeight="false" outlineLevel="0" collapsed="false">
      <c r="A686" s="2" t="s">
        <v>720</v>
      </c>
      <c r="B686" s="7" t="n">
        <v>46119.6020833333</v>
      </c>
      <c r="C686" s="7" t="n">
        <v>46119.8819444445</v>
      </c>
      <c r="D686" s="2" t="s">
        <v>22</v>
      </c>
      <c r="E686" s="2" t="s">
        <v>23</v>
      </c>
      <c r="F686" s="2" t="s">
        <v>38</v>
      </c>
      <c r="G686" s="2" t="s">
        <v>25</v>
      </c>
      <c r="H686" s="2" t="n">
        <v>5</v>
      </c>
      <c r="I686" s="2" t="str">
        <f aca="false">IF(C686="","Open","Resolved")</f>
        <v>Resolved</v>
      </c>
      <c r="J686" s="2" t="str">
        <f aca="false">TEXT(B686,"yyyy-mm")</f>
        <v>2026-04</v>
      </c>
      <c r="K686" s="8" t="n">
        <f aca="false">IF(C686="","",ROUND((C686-B686)*24,2))</f>
        <v>6.72</v>
      </c>
      <c r="L686" s="2" t="n">
        <f aca="false">INDEX('SLA Policy'!$B$2:$B$5,MATCH(E686,'SLA Policy'!$A$2:$A$5,0))</f>
        <v>8</v>
      </c>
      <c r="M686" s="2" t="str">
        <f aca="false">IF(K686="","Open",IF(K686&lt;=L686,"Yes","No"))</f>
        <v>Yes</v>
      </c>
    </row>
    <row r="687" customFormat="false" ht="15" hidden="false" customHeight="false" outlineLevel="0" collapsed="false">
      <c r="A687" s="2" t="s">
        <v>721</v>
      </c>
      <c r="B687" s="7" t="n">
        <v>46120.4763888889</v>
      </c>
      <c r="C687" s="7" t="n">
        <v>46128.5243055556</v>
      </c>
      <c r="D687" s="2" t="s">
        <v>48</v>
      </c>
      <c r="E687" s="2" t="s">
        <v>32</v>
      </c>
      <c r="F687" s="2" t="s">
        <v>27</v>
      </c>
      <c r="G687" s="2" t="s">
        <v>25</v>
      </c>
      <c r="H687" s="2" t="n">
        <v>1</v>
      </c>
      <c r="I687" s="2" t="str">
        <f aca="false">IF(C687="","Open","Resolved")</f>
        <v>Resolved</v>
      </c>
      <c r="J687" s="2" t="str">
        <f aca="false">TEXT(B687,"yyyy-mm")</f>
        <v>2026-04</v>
      </c>
      <c r="K687" s="8" t="n">
        <f aca="false">IF(C687="","",ROUND((C687-B687)*24,2))</f>
        <v>193.15</v>
      </c>
      <c r="L687" s="2" t="n">
        <f aca="false">INDEX('SLA Policy'!$B$2:$B$5,MATCH(E687,'SLA Policy'!$A$2:$A$5,0))</f>
        <v>72</v>
      </c>
      <c r="M687" s="2" t="str">
        <f aca="false">IF(K687="","Open",IF(K687&lt;=L687,"Yes","No"))</f>
        <v>No</v>
      </c>
    </row>
    <row r="688" customFormat="false" ht="15" hidden="false" customHeight="false" outlineLevel="0" collapsed="false">
      <c r="A688" s="2" t="s">
        <v>722</v>
      </c>
      <c r="B688" s="7" t="n">
        <v>46120.5263888889</v>
      </c>
      <c r="C688" s="7" t="n">
        <v>46122.6590277778</v>
      </c>
      <c r="D688" s="2" t="s">
        <v>22</v>
      </c>
      <c r="E688" s="2" t="s">
        <v>35</v>
      </c>
      <c r="F688" s="2" t="s">
        <v>27</v>
      </c>
      <c r="G688" s="2" t="s">
        <v>25</v>
      </c>
      <c r="H688" s="2" t="n">
        <v>3</v>
      </c>
      <c r="I688" s="2" t="str">
        <f aca="false">IF(C688="","Open","Resolved")</f>
        <v>Resolved</v>
      </c>
      <c r="J688" s="2" t="str">
        <f aca="false">TEXT(B688,"yyyy-mm")</f>
        <v>2026-04</v>
      </c>
      <c r="K688" s="8" t="n">
        <f aca="false">IF(C688="","",ROUND((C688-B688)*24,2))</f>
        <v>51.18</v>
      </c>
      <c r="L688" s="2" t="n">
        <f aca="false">INDEX('SLA Policy'!$B$2:$B$5,MATCH(E688,'SLA Policy'!$A$2:$A$5,0))</f>
        <v>24</v>
      </c>
      <c r="M688" s="2" t="str">
        <f aca="false">IF(K688="","Open",IF(K688&lt;=L688,"Yes","No"))</f>
        <v>No</v>
      </c>
    </row>
    <row r="689" customFormat="false" ht="15" hidden="false" customHeight="false" outlineLevel="0" collapsed="false">
      <c r="A689" s="2" t="s">
        <v>723</v>
      </c>
      <c r="B689" s="7" t="n">
        <v>46120.6472222222</v>
      </c>
      <c r="C689" s="7" t="n">
        <v>46122.9930555556</v>
      </c>
      <c r="D689" s="2" t="s">
        <v>22</v>
      </c>
      <c r="E689" s="2" t="s">
        <v>35</v>
      </c>
      <c r="F689" s="2" t="s">
        <v>27</v>
      </c>
      <c r="G689" s="2" t="s">
        <v>25</v>
      </c>
      <c r="H689" s="2" t="n">
        <v>3</v>
      </c>
      <c r="I689" s="2" t="str">
        <f aca="false">IF(C689="","Open","Resolved")</f>
        <v>Resolved</v>
      </c>
      <c r="J689" s="2" t="str">
        <f aca="false">TEXT(B689,"yyyy-mm")</f>
        <v>2026-04</v>
      </c>
      <c r="K689" s="8" t="n">
        <f aca="false">IF(C689="","",ROUND((C689-B689)*24,2))</f>
        <v>56.3</v>
      </c>
      <c r="L689" s="2" t="n">
        <f aca="false">INDEX('SLA Policy'!$B$2:$B$5,MATCH(E689,'SLA Policy'!$A$2:$A$5,0))</f>
        <v>24</v>
      </c>
      <c r="M689" s="2" t="str">
        <f aca="false">IF(K689="","Open",IF(K689&lt;=L689,"Yes","No"))</f>
        <v>No</v>
      </c>
    </row>
    <row r="690" customFormat="false" ht="15" hidden="false" customHeight="false" outlineLevel="0" collapsed="false">
      <c r="A690" s="2" t="s">
        <v>724</v>
      </c>
      <c r="B690" s="7" t="n">
        <v>46120.6756944444</v>
      </c>
      <c r="C690" s="7" t="n">
        <v>46122.5569444444</v>
      </c>
      <c r="D690" s="2" t="s">
        <v>22</v>
      </c>
      <c r="E690" s="2" t="s">
        <v>32</v>
      </c>
      <c r="F690" s="2" t="s">
        <v>28</v>
      </c>
      <c r="G690" s="2" t="s">
        <v>25</v>
      </c>
      <c r="H690" s="2" t="n">
        <v>3</v>
      </c>
      <c r="I690" s="2" t="str">
        <f aca="false">IF(C690="","Open","Resolved")</f>
        <v>Resolved</v>
      </c>
      <c r="J690" s="2" t="str">
        <f aca="false">TEXT(B690,"yyyy-mm")</f>
        <v>2026-04</v>
      </c>
      <c r="K690" s="8" t="n">
        <f aca="false">IF(C690="","",ROUND((C690-B690)*24,2))</f>
        <v>45.15</v>
      </c>
      <c r="L690" s="2" t="n">
        <f aca="false">INDEX('SLA Policy'!$B$2:$B$5,MATCH(E690,'SLA Policy'!$A$2:$A$5,0))</f>
        <v>72</v>
      </c>
      <c r="M690" s="2" t="str">
        <f aca="false">IF(K690="","Open",IF(K690&lt;=L690,"Yes","No"))</f>
        <v>Yes</v>
      </c>
    </row>
    <row r="691" customFormat="false" ht="15" hidden="false" customHeight="false" outlineLevel="0" collapsed="false">
      <c r="A691" s="2" t="s">
        <v>725</v>
      </c>
      <c r="B691" s="7" t="n">
        <v>46120.7666666667</v>
      </c>
      <c r="C691" s="7" t="n">
        <v>46122.2298611111</v>
      </c>
      <c r="D691" s="2" t="s">
        <v>42</v>
      </c>
      <c r="E691" s="2" t="s">
        <v>32</v>
      </c>
      <c r="F691" s="2" t="s">
        <v>24</v>
      </c>
      <c r="G691" s="2" t="s">
        <v>29</v>
      </c>
      <c r="H691" s="2" t="n">
        <v>5</v>
      </c>
      <c r="I691" s="2" t="str">
        <f aca="false">IF(C691="","Open","Resolved")</f>
        <v>Resolved</v>
      </c>
      <c r="J691" s="2" t="str">
        <f aca="false">TEXT(B691,"yyyy-mm")</f>
        <v>2026-04</v>
      </c>
      <c r="K691" s="8" t="n">
        <f aca="false">IF(C691="","",ROUND((C691-B691)*24,2))</f>
        <v>35.12</v>
      </c>
      <c r="L691" s="2" t="n">
        <f aca="false">INDEX('SLA Policy'!$B$2:$B$5,MATCH(E691,'SLA Policy'!$A$2:$A$5,0))</f>
        <v>72</v>
      </c>
      <c r="M691" s="2" t="str">
        <f aca="false">IF(K691="","Open",IF(K691&lt;=L691,"Yes","No"))</f>
        <v>Yes</v>
      </c>
    </row>
    <row r="692" customFormat="false" ht="15" hidden="false" customHeight="false" outlineLevel="0" collapsed="false">
      <c r="A692" s="2" t="s">
        <v>726</v>
      </c>
      <c r="B692" s="7" t="n">
        <v>46120.7680555556</v>
      </c>
      <c r="C692" s="7" t="n">
        <v>46121.2763888889</v>
      </c>
      <c r="D692" s="2" t="s">
        <v>42</v>
      </c>
      <c r="E692" s="2" t="s">
        <v>35</v>
      </c>
      <c r="F692" s="2" t="s">
        <v>24</v>
      </c>
      <c r="G692" s="2" t="s">
        <v>29</v>
      </c>
      <c r="H692" s="2" t="n">
        <v>5</v>
      </c>
      <c r="I692" s="2" t="str">
        <f aca="false">IF(C692="","Open","Resolved")</f>
        <v>Resolved</v>
      </c>
      <c r="J692" s="2" t="str">
        <f aca="false">TEXT(B692,"yyyy-mm")</f>
        <v>2026-04</v>
      </c>
      <c r="K692" s="8" t="n">
        <f aca="false">IF(C692="","",ROUND((C692-B692)*24,2))</f>
        <v>12.2</v>
      </c>
      <c r="L692" s="2" t="n">
        <f aca="false">INDEX('SLA Policy'!$B$2:$B$5,MATCH(E692,'SLA Policy'!$A$2:$A$5,0))</f>
        <v>24</v>
      </c>
      <c r="M692" s="2" t="str">
        <f aca="false">IF(K692="","Open",IF(K692&lt;=L692,"Yes","No"))</f>
        <v>Yes</v>
      </c>
    </row>
    <row r="693" customFormat="false" ht="15" hidden="false" customHeight="false" outlineLevel="0" collapsed="false">
      <c r="A693" s="2" t="s">
        <v>727</v>
      </c>
      <c r="B693" s="7" t="n">
        <v>46120.7798611111</v>
      </c>
      <c r="C693" s="7" t="n">
        <v>46121.4923611111</v>
      </c>
      <c r="D693" s="2" t="s">
        <v>48</v>
      </c>
      <c r="E693" s="2" t="s">
        <v>35</v>
      </c>
      <c r="F693" s="2" t="s">
        <v>27</v>
      </c>
      <c r="G693" s="2" t="s">
        <v>25</v>
      </c>
      <c r="H693" s="2" t="n">
        <v>4</v>
      </c>
      <c r="I693" s="2" t="str">
        <f aca="false">IF(C693="","Open","Resolved")</f>
        <v>Resolved</v>
      </c>
      <c r="J693" s="2" t="str">
        <f aca="false">TEXT(B693,"yyyy-mm")</f>
        <v>2026-04</v>
      </c>
      <c r="K693" s="8" t="n">
        <f aca="false">IF(C693="","",ROUND((C693-B693)*24,2))</f>
        <v>17.1</v>
      </c>
      <c r="L693" s="2" t="n">
        <f aca="false">INDEX('SLA Policy'!$B$2:$B$5,MATCH(E693,'SLA Policy'!$A$2:$A$5,0))</f>
        <v>24</v>
      </c>
      <c r="M693" s="2" t="str">
        <f aca="false">IF(K693="","Open",IF(K693&lt;=L693,"Yes","No"))</f>
        <v>Yes</v>
      </c>
    </row>
    <row r="694" customFormat="false" ht="15" hidden="false" customHeight="false" outlineLevel="0" collapsed="false">
      <c r="A694" s="2" t="s">
        <v>728</v>
      </c>
      <c r="B694" s="7" t="n">
        <v>46121.4486111111</v>
      </c>
      <c r="C694" s="7" t="n">
        <v>46121.8506944445</v>
      </c>
      <c r="D694" s="2" t="s">
        <v>31</v>
      </c>
      <c r="E694" s="2" t="s">
        <v>35</v>
      </c>
      <c r="F694" s="2" t="s">
        <v>27</v>
      </c>
      <c r="G694" s="2" t="s">
        <v>33</v>
      </c>
      <c r="H694" s="2" t="n">
        <v>3</v>
      </c>
      <c r="I694" s="2" t="str">
        <f aca="false">IF(C694="","Open","Resolved")</f>
        <v>Resolved</v>
      </c>
      <c r="J694" s="2" t="str">
        <f aca="false">TEXT(B694,"yyyy-mm")</f>
        <v>2026-04</v>
      </c>
      <c r="K694" s="8" t="n">
        <f aca="false">IF(C694="","",ROUND((C694-B694)*24,2))</f>
        <v>9.65</v>
      </c>
      <c r="L694" s="2" t="n">
        <f aca="false">INDEX('SLA Policy'!$B$2:$B$5,MATCH(E694,'SLA Policy'!$A$2:$A$5,0))</f>
        <v>24</v>
      </c>
      <c r="M694" s="2" t="str">
        <f aca="false">IF(K694="","Open",IF(K694&lt;=L694,"Yes","No"))</f>
        <v>Yes</v>
      </c>
    </row>
    <row r="695" customFormat="false" ht="15" hidden="false" customHeight="false" outlineLevel="0" collapsed="false">
      <c r="A695" s="2" t="s">
        <v>729</v>
      </c>
      <c r="B695" s="7" t="n">
        <v>46121.4833333333</v>
      </c>
      <c r="C695" s="7" t="n">
        <v>46121.9131944445</v>
      </c>
      <c r="D695" s="2" t="s">
        <v>31</v>
      </c>
      <c r="E695" s="2" t="s">
        <v>23</v>
      </c>
      <c r="F695" s="2" t="s">
        <v>24</v>
      </c>
      <c r="G695" s="2" t="s">
        <v>33</v>
      </c>
      <c r="H695" s="2" t="n">
        <v>4</v>
      </c>
      <c r="I695" s="2" t="str">
        <f aca="false">IF(C695="","Open","Resolved")</f>
        <v>Resolved</v>
      </c>
      <c r="J695" s="2" t="str">
        <f aca="false">TEXT(B695,"yyyy-mm")</f>
        <v>2026-04</v>
      </c>
      <c r="K695" s="8" t="n">
        <f aca="false">IF(C695="","",ROUND((C695-B695)*24,2))</f>
        <v>10.32</v>
      </c>
      <c r="L695" s="2" t="n">
        <f aca="false">INDEX('SLA Policy'!$B$2:$B$5,MATCH(E695,'SLA Policy'!$A$2:$A$5,0))</f>
        <v>8</v>
      </c>
      <c r="M695" s="2" t="str">
        <f aca="false">IF(K695="","Open",IF(K695&lt;=L695,"Yes","No"))</f>
        <v>No</v>
      </c>
    </row>
    <row r="696" customFormat="false" ht="15" hidden="false" customHeight="false" outlineLevel="0" collapsed="false">
      <c r="A696" s="2" t="s">
        <v>730</v>
      </c>
      <c r="B696" s="7" t="n">
        <v>46121.4986111111</v>
      </c>
      <c r="C696" s="7" t="n">
        <v>46126.0465277778</v>
      </c>
      <c r="D696" s="2" t="s">
        <v>48</v>
      </c>
      <c r="E696" s="2" t="s">
        <v>32</v>
      </c>
      <c r="F696" s="2" t="s">
        <v>38</v>
      </c>
      <c r="G696" s="2" t="s">
        <v>25</v>
      </c>
      <c r="H696" s="2" t="n">
        <v>1</v>
      </c>
      <c r="I696" s="2" t="str">
        <f aca="false">IF(C696="","Open","Resolved")</f>
        <v>Resolved</v>
      </c>
      <c r="J696" s="2" t="str">
        <f aca="false">TEXT(B696,"yyyy-mm")</f>
        <v>2026-04</v>
      </c>
      <c r="K696" s="8" t="n">
        <f aca="false">IF(C696="","",ROUND((C696-B696)*24,2))</f>
        <v>109.15</v>
      </c>
      <c r="L696" s="2" t="n">
        <f aca="false">INDEX('SLA Policy'!$B$2:$B$5,MATCH(E696,'SLA Policy'!$A$2:$A$5,0))</f>
        <v>72</v>
      </c>
      <c r="M696" s="2" t="str">
        <f aca="false">IF(K696="","Open",IF(K696&lt;=L696,"Yes","No"))</f>
        <v>No</v>
      </c>
    </row>
    <row r="697" customFormat="false" ht="15" hidden="false" customHeight="false" outlineLevel="0" collapsed="false">
      <c r="A697" s="2" t="s">
        <v>731</v>
      </c>
      <c r="B697" s="7" t="n">
        <v>46121.5090277778</v>
      </c>
      <c r="C697" s="7" t="n">
        <v>46121.7222222222</v>
      </c>
      <c r="D697" s="2" t="s">
        <v>42</v>
      </c>
      <c r="E697" s="2" t="s">
        <v>35</v>
      </c>
      <c r="F697" s="2" t="s">
        <v>38</v>
      </c>
      <c r="G697" s="2" t="s">
        <v>29</v>
      </c>
      <c r="H697" s="2" t="n">
        <v>5</v>
      </c>
      <c r="I697" s="2" t="str">
        <f aca="false">IF(C697="","Open","Resolved")</f>
        <v>Resolved</v>
      </c>
      <c r="J697" s="2" t="str">
        <f aca="false">TEXT(B697,"yyyy-mm")</f>
        <v>2026-04</v>
      </c>
      <c r="K697" s="8" t="n">
        <f aca="false">IF(C697="","",ROUND((C697-B697)*24,2))</f>
        <v>5.12</v>
      </c>
      <c r="L697" s="2" t="n">
        <f aca="false">INDEX('SLA Policy'!$B$2:$B$5,MATCH(E697,'SLA Policy'!$A$2:$A$5,0))</f>
        <v>24</v>
      </c>
      <c r="M697" s="2" t="str">
        <f aca="false">IF(K697="","Open",IF(K697&lt;=L697,"Yes","No"))</f>
        <v>Yes</v>
      </c>
    </row>
    <row r="698" customFormat="false" ht="15" hidden="false" customHeight="false" outlineLevel="0" collapsed="false">
      <c r="A698" s="2" t="s">
        <v>732</v>
      </c>
      <c r="B698" s="7" t="n">
        <v>46121.5493055556</v>
      </c>
      <c r="C698" s="7" t="n">
        <v>46122.9326388889</v>
      </c>
      <c r="D698" s="2" t="s">
        <v>31</v>
      </c>
      <c r="E698" s="2" t="s">
        <v>35</v>
      </c>
      <c r="F698" s="2" t="s">
        <v>28</v>
      </c>
      <c r="G698" s="2" t="s">
        <v>33</v>
      </c>
      <c r="H698" s="2" t="n">
        <v>4</v>
      </c>
      <c r="I698" s="2" t="str">
        <f aca="false">IF(C698="","Open","Resolved")</f>
        <v>Resolved</v>
      </c>
      <c r="J698" s="2" t="str">
        <f aca="false">TEXT(B698,"yyyy-mm")</f>
        <v>2026-04</v>
      </c>
      <c r="K698" s="8" t="n">
        <f aca="false">IF(C698="","",ROUND((C698-B698)*24,2))</f>
        <v>33.2</v>
      </c>
      <c r="L698" s="2" t="n">
        <f aca="false">INDEX('SLA Policy'!$B$2:$B$5,MATCH(E698,'SLA Policy'!$A$2:$A$5,0))</f>
        <v>24</v>
      </c>
      <c r="M698" s="2" t="str">
        <f aca="false">IF(K698="","Open",IF(K698&lt;=L698,"Yes","No"))</f>
        <v>No</v>
      </c>
    </row>
    <row r="699" customFormat="false" ht="15" hidden="false" customHeight="false" outlineLevel="0" collapsed="false">
      <c r="A699" s="2" t="s">
        <v>733</v>
      </c>
      <c r="B699" s="7" t="n">
        <v>46121.5680555556</v>
      </c>
      <c r="C699" s="7" t="n">
        <v>46122.3701388889</v>
      </c>
      <c r="D699" s="2" t="s">
        <v>42</v>
      </c>
      <c r="E699" s="2" t="s">
        <v>35</v>
      </c>
      <c r="F699" s="2" t="s">
        <v>27</v>
      </c>
      <c r="G699" s="2" t="s">
        <v>29</v>
      </c>
      <c r="H699" s="2" t="n">
        <v>5</v>
      </c>
      <c r="I699" s="2" t="str">
        <f aca="false">IF(C699="","Open","Resolved")</f>
        <v>Resolved</v>
      </c>
      <c r="J699" s="2" t="str">
        <f aca="false">TEXT(B699,"yyyy-mm")</f>
        <v>2026-04</v>
      </c>
      <c r="K699" s="8" t="n">
        <f aca="false">IF(C699="","",ROUND((C699-B699)*24,2))</f>
        <v>19.25</v>
      </c>
      <c r="L699" s="2" t="n">
        <f aca="false">INDEX('SLA Policy'!$B$2:$B$5,MATCH(E699,'SLA Policy'!$A$2:$A$5,0))</f>
        <v>24</v>
      </c>
      <c r="M699" s="2" t="str">
        <f aca="false">IF(K699="","Open",IF(K699&lt;=L699,"Yes","No"))</f>
        <v>Yes</v>
      </c>
    </row>
    <row r="700" customFormat="false" ht="15" hidden="false" customHeight="false" outlineLevel="0" collapsed="false">
      <c r="A700" s="2" t="s">
        <v>734</v>
      </c>
      <c r="B700" s="7" t="n">
        <v>46121.5736111111</v>
      </c>
      <c r="C700" s="7" t="n">
        <v>46123.7583333333</v>
      </c>
      <c r="D700" s="2" t="s">
        <v>48</v>
      </c>
      <c r="E700" s="2" t="s">
        <v>32</v>
      </c>
      <c r="F700" s="2" t="s">
        <v>28</v>
      </c>
      <c r="G700" s="2" t="s">
        <v>25</v>
      </c>
      <c r="H700" s="2" t="n">
        <v>2</v>
      </c>
      <c r="I700" s="2" t="str">
        <f aca="false">IF(C700="","Open","Resolved")</f>
        <v>Resolved</v>
      </c>
      <c r="J700" s="2" t="str">
        <f aca="false">TEXT(B700,"yyyy-mm")</f>
        <v>2026-04</v>
      </c>
      <c r="K700" s="8" t="n">
        <f aca="false">IF(C700="","",ROUND((C700-B700)*24,2))</f>
        <v>52.43</v>
      </c>
      <c r="L700" s="2" t="n">
        <f aca="false">INDEX('SLA Policy'!$B$2:$B$5,MATCH(E700,'SLA Policy'!$A$2:$A$5,0))</f>
        <v>72</v>
      </c>
      <c r="M700" s="2" t="str">
        <f aca="false">IF(K700="","Open",IF(K700&lt;=L700,"Yes","No"))</f>
        <v>Yes</v>
      </c>
    </row>
    <row r="701" customFormat="false" ht="15" hidden="false" customHeight="false" outlineLevel="0" collapsed="false">
      <c r="A701" s="2" t="s">
        <v>735</v>
      </c>
      <c r="B701" s="7" t="n">
        <v>46121.6305555556</v>
      </c>
      <c r="C701" s="7" t="n">
        <v>46121.7076388889</v>
      </c>
      <c r="D701" s="2" t="s">
        <v>42</v>
      </c>
      <c r="E701" s="2" t="s">
        <v>23</v>
      </c>
      <c r="F701" s="2" t="s">
        <v>27</v>
      </c>
      <c r="G701" s="2" t="s">
        <v>29</v>
      </c>
      <c r="H701" s="2" t="n">
        <v>5</v>
      </c>
      <c r="I701" s="2" t="str">
        <f aca="false">IF(C701="","Open","Resolved")</f>
        <v>Resolved</v>
      </c>
      <c r="J701" s="2" t="str">
        <f aca="false">TEXT(B701,"yyyy-mm")</f>
        <v>2026-04</v>
      </c>
      <c r="K701" s="8" t="n">
        <f aca="false">IF(C701="","",ROUND((C701-B701)*24,2))</f>
        <v>1.85</v>
      </c>
      <c r="L701" s="2" t="n">
        <f aca="false">INDEX('SLA Policy'!$B$2:$B$5,MATCH(E701,'SLA Policy'!$A$2:$A$5,0))</f>
        <v>8</v>
      </c>
      <c r="M701" s="2" t="str">
        <f aca="false">IF(K701="","Open",IF(K701&lt;=L701,"Yes","No"))</f>
        <v>Yes</v>
      </c>
    </row>
    <row r="702" customFormat="false" ht="15" hidden="false" customHeight="false" outlineLevel="0" collapsed="false">
      <c r="A702" s="2" t="s">
        <v>736</v>
      </c>
      <c r="B702" s="7" t="n">
        <v>46121.6798611111</v>
      </c>
      <c r="C702" s="7" t="n">
        <v>46122.36875</v>
      </c>
      <c r="D702" s="2" t="s">
        <v>27</v>
      </c>
      <c r="E702" s="2" t="s">
        <v>35</v>
      </c>
      <c r="F702" s="2" t="s">
        <v>27</v>
      </c>
      <c r="G702" s="2" t="s">
        <v>29</v>
      </c>
      <c r="H702" s="2" t="n">
        <v>4</v>
      </c>
      <c r="I702" s="2" t="str">
        <f aca="false">IF(C702="","Open","Resolved")</f>
        <v>Resolved</v>
      </c>
      <c r="J702" s="2" t="str">
        <f aca="false">TEXT(B702,"yyyy-mm")</f>
        <v>2026-04</v>
      </c>
      <c r="K702" s="8" t="n">
        <f aca="false">IF(C702="","",ROUND((C702-B702)*24,2))</f>
        <v>16.53</v>
      </c>
      <c r="L702" s="2" t="n">
        <f aca="false">INDEX('SLA Policy'!$B$2:$B$5,MATCH(E702,'SLA Policy'!$A$2:$A$5,0))</f>
        <v>24</v>
      </c>
      <c r="M702" s="2" t="str">
        <f aca="false">IF(K702="","Open",IF(K702&lt;=L702,"Yes","No"))</f>
        <v>Yes</v>
      </c>
    </row>
    <row r="703" customFormat="false" ht="15" hidden="false" customHeight="false" outlineLevel="0" collapsed="false">
      <c r="A703" s="2" t="s">
        <v>737</v>
      </c>
      <c r="B703" s="7" t="n">
        <v>46121.7381944444</v>
      </c>
      <c r="C703" s="7" t="n">
        <v>46122.7923611111</v>
      </c>
      <c r="D703" s="2" t="s">
        <v>42</v>
      </c>
      <c r="E703" s="2" t="s">
        <v>32</v>
      </c>
      <c r="F703" s="2" t="s">
        <v>24</v>
      </c>
      <c r="G703" s="2" t="s">
        <v>29</v>
      </c>
      <c r="H703" s="2" t="n">
        <v>4</v>
      </c>
      <c r="I703" s="2" t="str">
        <f aca="false">IF(C703="","Open","Resolved")</f>
        <v>Resolved</v>
      </c>
      <c r="J703" s="2" t="str">
        <f aca="false">TEXT(B703,"yyyy-mm")</f>
        <v>2026-04</v>
      </c>
      <c r="K703" s="8" t="n">
        <f aca="false">IF(C703="","",ROUND((C703-B703)*24,2))</f>
        <v>25.3</v>
      </c>
      <c r="L703" s="2" t="n">
        <f aca="false">INDEX('SLA Policy'!$B$2:$B$5,MATCH(E703,'SLA Policy'!$A$2:$A$5,0))</f>
        <v>72</v>
      </c>
      <c r="M703" s="2" t="str">
        <f aca="false">IF(K703="","Open",IF(K703&lt;=L703,"Yes","No"))</f>
        <v>Yes</v>
      </c>
    </row>
    <row r="704" customFormat="false" ht="15" hidden="false" customHeight="false" outlineLevel="0" collapsed="false">
      <c r="A704" s="2" t="s">
        <v>738</v>
      </c>
      <c r="B704" s="7" t="n">
        <v>46121.7791666667</v>
      </c>
      <c r="C704" s="7" t="n">
        <v>46121.8958333333</v>
      </c>
      <c r="D704" s="2" t="s">
        <v>22</v>
      </c>
      <c r="E704" s="2" t="s">
        <v>40</v>
      </c>
      <c r="F704" s="2" t="s">
        <v>24</v>
      </c>
      <c r="G704" s="2" t="s">
        <v>25</v>
      </c>
      <c r="H704" s="2" t="n">
        <v>5</v>
      </c>
      <c r="I704" s="2" t="str">
        <f aca="false">IF(C704="","Open","Resolved")</f>
        <v>Resolved</v>
      </c>
      <c r="J704" s="2" t="str">
        <f aca="false">TEXT(B704,"yyyy-mm")</f>
        <v>2026-04</v>
      </c>
      <c r="K704" s="8" t="n">
        <f aca="false">IF(C704="","",ROUND((C704-B704)*24,2))</f>
        <v>2.8</v>
      </c>
      <c r="L704" s="2" t="n">
        <f aca="false">INDEX('SLA Policy'!$B$2:$B$5,MATCH(E704,'SLA Policy'!$A$2:$A$5,0))</f>
        <v>4</v>
      </c>
      <c r="M704" s="2" t="str">
        <f aca="false">IF(K704="","Open",IF(K704&lt;=L704,"Yes","No"))</f>
        <v>Yes</v>
      </c>
    </row>
    <row r="705" customFormat="false" ht="15" hidden="false" customHeight="false" outlineLevel="0" collapsed="false">
      <c r="A705" s="2" t="s">
        <v>739</v>
      </c>
      <c r="B705" s="7" t="n">
        <v>46122.3513888889</v>
      </c>
      <c r="C705" s="7" t="n">
        <v>46122.6243055556</v>
      </c>
      <c r="D705" s="2" t="s">
        <v>31</v>
      </c>
      <c r="E705" s="2" t="s">
        <v>40</v>
      </c>
      <c r="F705" s="2" t="s">
        <v>27</v>
      </c>
      <c r="G705" s="2" t="s">
        <v>33</v>
      </c>
      <c r="H705" s="2" t="n">
        <v>5</v>
      </c>
      <c r="I705" s="2" t="str">
        <f aca="false">IF(C705="","Open","Resolved")</f>
        <v>Resolved</v>
      </c>
      <c r="J705" s="2" t="str">
        <f aca="false">TEXT(B705,"yyyy-mm")</f>
        <v>2026-04</v>
      </c>
      <c r="K705" s="8" t="n">
        <f aca="false">IF(C705="","",ROUND((C705-B705)*24,2))</f>
        <v>6.55</v>
      </c>
      <c r="L705" s="2" t="n">
        <f aca="false">INDEX('SLA Policy'!$B$2:$B$5,MATCH(E705,'SLA Policy'!$A$2:$A$5,0))</f>
        <v>4</v>
      </c>
      <c r="M705" s="2" t="str">
        <f aca="false">IF(K705="","Open",IF(K705&lt;=L705,"Yes","No"))</f>
        <v>No</v>
      </c>
    </row>
    <row r="706" customFormat="false" ht="15" hidden="false" customHeight="false" outlineLevel="0" collapsed="false">
      <c r="A706" s="2" t="s">
        <v>740</v>
      </c>
      <c r="B706" s="7" t="n">
        <v>46122.3722222222</v>
      </c>
      <c r="C706" s="7" t="n">
        <v>46123.6993055556</v>
      </c>
      <c r="D706" s="2" t="s">
        <v>42</v>
      </c>
      <c r="E706" s="2" t="s">
        <v>32</v>
      </c>
      <c r="F706" s="2" t="s">
        <v>38</v>
      </c>
      <c r="G706" s="2" t="s">
        <v>29</v>
      </c>
      <c r="H706" s="2" t="n">
        <v>4</v>
      </c>
      <c r="I706" s="2" t="str">
        <f aca="false">IF(C706="","Open","Resolved")</f>
        <v>Resolved</v>
      </c>
      <c r="J706" s="2" t="str">
        <f aca="false">TEXT(B706,"yyyy-mm")</f>
        <v>2026-04</v>
      </c>
      <c r="K706" s="8" t="n">
        <f aca="false">IF(C706="","",ROUND((C706-B706)*24,2))</f>
        <v>31.85</v>
      </c>
      <c r="L706" s="2" t="n">
        <f aca="false">INDEX('SLA Policy'!$B$2:$B$5,MATCH(E706,'SLA Policy'!$A$2:$A$5,0))</f>
        <v>72</v>
      </c>
      <c r="M706" s="2" t="str">
        <f aca="false">IF(K706="","Open",IF(K706&lt;=L706,"Yes","No"))</f>
        <v>Yes</v>
      </c>
    </row>
    <row r="707" customFormat="false" ht="15" hidden="false" customHeight="false" outlineLevel="0" collapsed="false">
      <c r="A707" s="2" t="s">
        <v>741</v>
      </c>
      <c r="B707" s="7" t="n">
        <v>46122.3944444444</v>
      </c>
      <c r="C707" s="7" t="n">
        <v>46123.1236111111</v>
      </c>
      <c r="D707" s="2" t="s">
        <v>31</v>
      </c>
      <c r="E707" s="2" t="s">
        <v>35</v>
      </c>
      <c r="F707" s="2" t="s">
        <v>27</v>
      </c>
      <c r="G707" s="2" t="s">
        <v>33</v>
      </c>
      <c r="H707" s="2" t="n">
        <v>5</v>
      </c>
      <c r="I707" s="2" t="str">
        <f aca="false">IF(C707="","Open","Resolved")</f>
        <v>Resolved</v>
      </c>
      <c r="J707" s="2" t="str">
        <f aca="false">TEXT(B707,"yyyy-mm")</f>
        <v>2026-04</v>
      </c>
      <c r="K707" s="8" t="n">
        <f aca="false">IF(C707="","",ROUND((C707-B707)*24,2))</f>
        <v>17.5</v>
      </c>
      <c r="L707" s="2" t="n">
        <f aca="false">INDEX('SLA Policy'!$B$2:$B$5,MATCH(E707,'SLA Policy'!$A$2:$A$5,0))</f>
        <v>24</v>
      </c>
      <c r="M707" s="2" t="str">
        <f aca="false">IF(K707="","Open",IF(K707&lt;=L707,"Yes","No"))</f>
        <v>Yes</v>
      </c>
    </row>
    <row r="708" customFormat="false" ht="15" hidden="false" customHeight="false" outlineLevel="0" collapsed="false">
      <c r="A708" s="2" t="s">
        <v>742</v>
      </c>
      <c r="B708" s="7" t="n">
        <v>46122.4576388889</v>
      </c>
      <c r="C708" s="7" t="n">
        <v>46123.1409722222</v>
      </c>
      <c r="D708" s="2" t="s">
        <v>42</v>
      </c>
      <c r="E708" s="2" t="s">
        <v>35</v>
      </c>
      <c r="F708" s="2" t="s">
        <v>28</v>
      </c>
      <c r="G708" s="2" t="s">
        <v>29</v>
      </c>
      <c r="H708" s="2" t="n">
        <v>3</v>
      </c>
      <c r="I708" s="2" t="str">
        <f aca="false">IF(C708="","Open","Resolved")</f>
        <v>Resolved</v>
      </c>
      <c r="J708" s="2" t="str">
        <f aca="false">TEXT(B708,"yyyy-mm")</f>
        <v>2026-04</v>
      </c>
      <c r="K708" s="8" t="n">
        <f aca="false">IF(C708="","",ROUND((C708-B708)*24,2))</f>
        <v>16.4</v>
      </c>
      <c r="L708" s="2" t="n">
        <f aca="false">INDEX('SLA Policy'!$B$2:$B$5,MATCH(E708,'SLA Policy'!$A$2:$A$5,0))</f>
        <v>24</v>
      </c>
      <c r="M708" s="2" t="str">
        <f aca="false">IF(K708="","Open",IF(K708&lt;=L708,"Yes","No"))</f>
        <v>Yes</v>
      </c>
    </row>
    <row r="709" customFormat="false" ht="15" hidden="false" customHeight="false" outlineLevel="0" collapsed="false">
      <c r="A709" s="2" t="s">
        <v>743</v>
      </c>
      <c r="B709" s="7" t="n">
        <v>46122.5423611111</v>
      </c>
      <c r="C709" s="7" t="n">
        <v>46123.33125</v>
      </c>
      <c r="D709" s="2" t="s">
        <v>42</v>
      </c>
      <c r="E709" s="2" t="s">
        <v>35</v>
      </c>
      <c r="F709" s="2" t="s">
        <v>24</v>
      </c>
      <c r="G709" s="2" t="s">
        <v>29</v>
      </c>
      <c r="H709" s="2" t="n">
        <v>3</v>
      </c>
      <c r="I709" s="2" t="str">
        <f aca="false">IF(C709="","Open","Resolved")</f>
        <v>Resolved</v>
      </c>
      <c r="J709" s="2" t="str">
        <f aca="false">TEXT(B709,"yyyy-mm")</f>
        <v>2026-04</v>
      </c>
      <c r="K709" s="8" t="n">
        <f aca="false">IF(C709="","",ROUND((C709-B709)*24,2))</f>
        <v>18.93</v>
      </c>
      <c r="L709" s="2" t="n">
        <f aca="false">INDEX('SLA Policy'!$B$2:$B$5,MATCH(E709,'SLA Policy'!$A$2:$A$5,0))</f>
        <v>24</v>
      </c>
      <c r="M709" s="2" t="str">
        <f aca="false">IF(K709="","Open",IF(K709&lt;=L709,"Yes","No"))</f>
        <v>Yes</v>
      </c>
    </row>
    <row r="710" customFormat="false" ht="15" hidden="false" customHeight="false" outlineLevel="0" collapsed="false">
      <c r="A710" s="2" t="s">
        <v>744</v>
      </c>
      <c r="B710" s="7" t="n">
        <v>46122.5520833333</v>
      </c>
      <c r="C710" s="7" t="n">
        <v>46123.8201388889</v>
      </c>
      <c r="D710" s="2" t="s">
        <v>42</v>
      </c>
      <c r="E710" s="2" t="s">
        <v>32</v>
      </c>
      <c r="F710" s="2" t="s">
        <v>27</v>
      </c>
      <c r="G710" s="2" t="s">
        <v>29</v>
      </c>
      <c r="H710" s="2" t="n">
        <v>4</v>
      </c>
      <c r="I710" s="2" t="str">
        <f aca="false">IF(C710="","Open","Resolved")</f>
        <v>Resolved</v>
      </c>
      <c r="J710" s="2" t="str">
        <f aca="false">TEXT(B710,"yyyy-mm")</f>
        <v>2026-04</v>
      </c>
      <c r="K710" s="8" t="n">
        <f aca="false">IF(C710="","",ROUND((C710-B710)*24,2))</f>
        <v>30.43</v>
      </c>
      <c r="L710" s="2" t="n">
        <f aca="false">INDEX('SLA Policy'!$B$2:$B$5,MATCH(E710,'SLA Policy'!$A$2:$A$5,0))</f>
        <v>72</v>
      </c>
      <c r="M710" s="2" t="str">
        <f aca="false">IF(K710="","Open",IF(K710&lt;=L710,"Yes","No"))</f>
        <v>Yes</v>
      </c>
    </row>
    <row r="711" customFormat="false" ht="15" hidden="false" customHeight="false" outlineLevel="0" collapsed="false">
      <c r="A711" s="2" t="s">
        <v>745</v>
      </c>
      <c r="B711" s="7" t="n">
        <v>46122.56875</v>
      </c>
      <c r="C711" s="7" t="n">
        <v>46123.6041666667</v>
      </c>
      <c r="D711" s="2" t="s">
        <v>42</v>
      </c>
      <c r="E711" s="2" t="s">
        <v>35</v>
      </c>
      <c r="F711" s="2" t="s">
        <v>27</v>
      </c>
      <c r="G711" s="2" t="s">
        <v>29</v>
      </c>
      <c r="H711" s="2" t="n">
        <v>4</v>
      </c>
      <c r="I711" s="2" t="str">
        <f aca="false">IF(C711="","Open","Resolved")</f>
        <v>Resolved</v>
      </c>
      <c r="J711" s="2" t="str">
        <f aca="false">TEXT(B711,"yyyy-mm")</f>
        <v>2026-04</v>
      </c>
      <c r="K711" s="8" t="n">
        <f aca="false">IF(C711="","",ROUND((C711-B711)*24,2))</f>
        <v>24.85</v>
      </c>
      <c r="L711" s="2" t="n">
        <f aca="false">INDEX('SLA Policy'!$B$2:$B$5,MATCH(E711,'SLA Policy'!$A$2:$A$5,0))</f>
        <v>24</v>
      </c>
      <c r="M711" s="2" t="str">
        <f aca="false">IF(K711="","Open",IF(K711&lt;=L711,"Yes","No"))</f>
        <v>No</v>
      </c>
    </row>
    <row r="712" customFormat="false" ht="15" hidden="false" customHeight="false" outlineLevel="0" collapsed="false">
      <c r="A712" s="2" t="s">
        <v>746</v>
      </c>
      <c r="B712" s="7" t="n">
        <v>46122.7902777778</v>
      </c>
      <c r="C712" s="7" t="n">
        <v>46123.5097222222</v>
      </c>
      <c r="D712" s="2" t="s">
        <v>42</v>
      </c>
      <c r="E712" s="2" t="s">
        <v>32</v>
      </c>
      <c r="F712" s="2" t="s">
        <v>38</v>
      </c>
      <c r="G712" s="2" t="s">
        <v>29</v>
      </c>
      <c r="H712" s="2" t="n">
        <v>5</v>
      </c>
      <c r="I712" s="2" t="str">
        <f aca="false">IF(C712="","Open","Resolved")</f>
        <v>Resolved</v>
      </c>
      <c r="J712" s="2" t="str">
        <f aca="false">TEXT(B712,"yyyy-mm")</f>
        <v>2026-04</v>
      </c>
      <c r="K712" s="8" t="n">
        <f aca="false">IF(C712="","",ROUND((C712-B712)*24,2))</f>
        <v>17.27</v>
      </c>
      <c r="L712" s="2" t="n">
        <f aca="false">INDEX('SLA Policy'!$B$2:$B$5,MATCH(E712,'SLA Policy'!$A$2:$A$5,0))</f>
        <v>72</v>
      </c>
      <c r="M712" s="2" t="str">
        <f aca="false">IF(K712="","Open",IF(K712&lt;=L712,"Yes","No"))</f>
        <v>Yes</v>
      </c>
    </row>
    <row r="713" customFormat="false" ht="15" hidden="false" customHeight="false" outlineLevel="0" collapsed="false">
      <c r="A713" s="2" t="s">
        <v>747</v>
      </c>
      <c r="B713" s="7" t="n">
        <v>46123.7097222222</v>
      </c>
      <c r="C713" s="7" t="n">
        <v>46126.7513888889</v>
      </c>
      <c r="D713" s="2" t="s">
        <v>48</v>
      </c>
      <c r="E713" s="2" t="s">
        <v>35</v>
      </c>
      <c r="F713" s="2" t="s">
        <v>24</v>
      </c>
      <c r="G713" s="2" t="s">
        <v>25</v>
      </c>
      <c r="H713" s="2" t="n">
        <v>2</v>
      </c>
      <c r="I713" s="2" t="str">
        <f aca="false">IF(C713="","Open","Resolved")</f>
        <v>Resolved</v>
      </c>
      <c r="J713" s="2" t="str">
        <f aca="false">TEXT(B713,"yyyy-mm")</f>
        <v>2026-04</v>
      </c>
      <c r="K713" s="8" t="n">
        <f aca="false">IF(C713="","",ROUND((C713-B713)*24,2))</f>
        <v>73</v>
      </c>
      <c r="L713" s="2" t="n">
        <f aca="false">INDEX('SLA Policy'!$B$2:$B$5,MATCH(E713,'SLA Policy'!$A$2:$A$5,0))</f>
        <v>24</v>
      </c>
      <c r="M713" s="2" t="str">
        <f aca="false">IF(K713="","Open",IF(K713&lt;=L713,"Yes","No"))</f>
        <v>No</v>
      </c>
    </row>
    <row r="714" customFormat="false" ht="15" hidden="false" customHeight="false" outlineLevel="0" collapsed="false">
      <c r="A714" s="2" t="s">
        <v>748</v>
      </c>
      <c r="B714" s="7" t="n">
        <v>46124.5083333333</v>
      </c>
      <c r="C714" s="7" t="n">
        <v>46126.0395833333</v>
      </c>
      <c r="D714" s="2" t="s">
        <v>48</v>
      </c>
      <c r="E714" s="2" t="s">
        <v>35</v>
      </c>
      <c r="F714" s="2" t="s">
        <v>38</v>
      </c>
      <c r="G714" s="2" t="s">
        <v>25</v>
      </c>
      <c r="H714" s="2" t="n">
        <v>3</v>
      </c>
      <c r="I714" s="2" t="str">
        <f aca="false">IF(C714="","Open","Resolved")</f>
        <v>Resolved</v>
      </c>
      <c r="J714" s="2" t="str">
        <f aca="false">TEXT(B714,"yyyy-mm")</f>
        <v>2026-04</v>
      </c>
      <c r="K714" s="8" t="n">
        <f aca="false">IF(C714="","",ROUND((C714-B714)*24,2))</f>
        <v>36.75</v>
      </c>
      <c r="L714" s="2" t="n">
        <f aca="false">INDEX('SLA Policy'!$B$2:$B$5,MATCH(E714,'SLA Policy'!$A$2:$A$5,0))</f>
        <v>24</v>
      </c>
      <c r="M714" s="2" t="str">
        <f aca="false">IF(K714="","Open",IF(K714&lt;=L714,"Yes","No"))</f>
        <v>No</v>
      </c>
    </row>
    <row r="715" customFormat="false" ht="15" hidden="false" customHeight="false" outlineLevel="0" collapsed="false">
      <c r="A715" s="2" t="s">
        <v>749</v>
      </c>
      <c r="B715" s="7" t="n">
        <v>46124.5520833333</v>
      </c>
      <c r="C715" s="7" t="n">
        <v>46124.6326388889</v>
      </c>
      <c r="D715" s="2" t="s">
        <v>42</v>
      </c>
      <c r="E715" s="2" t="s">
        <v>40</v>
      </c>
      <c r="F715" s="2" t="s">
        <v>27</v>
      </c>
      <c r="G715" s="2" t="s">
        <v>29</v>
      </c>
      <c r="H715" s="2" t="n">
        <v>5</v>
      </c>
      <c r="I715" s="2" t="str">
        <f aca="false">IF(C715="","Open","Resolved")</f>
        <v>Resolved</v>
      </c>
      <c r="J715" s="2" t="str">
        <f aca="false">TEXT(B715,"yyyy-mm")</f>
        <v>2026-04</v>
      </c>
      <c r="K715" s="8" t="n">
        <f aca="false">IF(C715="","",ROUND((C715-B715)*24,2))</f>
        <v>1.93</v>
      </c>
      <c r="L715" s="2" t="n">
        <f aca="false">INDEX('SLA Policy'!$B$2:$B$5,MATCH(E715,'SLA Policy'!$A$2:$A$5,0))</f>
        <v>4</v>
      </c>
      <c r="M715" s="2" t="str">
        <f aca="false">IF(K715="","Open",IF(K715&lt;=L715,"Yes","No"))</f>
        <v>Yes</v>
      </c>
    </row>
    <row r="716" customFormat="false" ht="15" hidden="false" customHeight="false" outlineLevel="0" collapsed="false">
      <c r="A716" s="2" t="s">
        <v>750</v>
      </c>
      <c r="B716" s="7" t="n">
        <v>46124.5701388889</v>
      </c>
      <c r="C716" s="7" t="n">
        <v>46124.8805555556</v>
      </c>
      <c r="D716" s="2" t="s">
        <v>22</v>
      </c>
      <c r="E716" s="2" t="s">
        <v>23</v>
      </c>
      <c r="F716" s="2" t="s">
        <v>24</v>
      </c>
      <c r="G716" s="2" t="s">
        <v>25</v>
      </c>
      <c r="H716" s="2" t="n">
        <v>5</v>
      </c>
      <c r="I716" s="2" t="str">
        <f aca="false">IF(C716="","Open","Resolved")</f>
        <v>Resolved</v>
      </c>
      <c r="J716" s="2" t="str">
        <f aca="false">TEXT(B716,"yyyy-mm")</f>
        <v>2026-04</v>
      </c>
      <c r="K716" s="8" t="n">
        <f aca="false">IF(C716="","",ROUND((C716-B716)*24,2))</f>
        <v>7.45</v>
      </c>
      <c r="L716" s="2" t="n">
        <f aca="false">INDEX('SLA Policy'!$B$2:$B$5,MATCH(E716,'SLA Policy'!$A$2:$A$5,0))</f>
        <v>8</v>
      </c>
      <c r="M716" s="2" t="str">
        <f aca="false">IF(K716="","Open",IF(K716&lt;=L716,"Yes","No"))</f>
        <v>Yes</v>
      </c>
    </row>
    <row r="717" customFormat="false" ht="15" hidden="false" customHeight="false" outlineLevel="0" collapsed="false">
      <c r="A717" s="2" t="s">
        <v>751</v>
      </c>
      <c r="B717" s="7" t="n">
        <v>46124.7326388889</v>
      </c>
      <c r="C717" s="7" t="n">
        <v>46125.2145833333</v>
      </c>
      <c r="D717" s="2" t="s">
        <v>31</v>
      </c>
      <c r="E717" s="2" t="s">
        <v>35</v>
      </c>
      <c r="F717" s="2" t="s">
        <v>24</v>
      </c>
      <c r="G717" s="2" t="s">
        <v>33</v>
      </c>
      <c r="H717" s="2" t="n">
        <v>5</v>
      </c>
      <c r="I717" s="2" t="str">
        <f aca="false">IF(C717="","Open","Resolved")</f>
        <v>Resolved</v>
      </c>
      <c r="J717" s="2" t="str">
        <f aca="false">TEXT(B717,"yyyy-mm")</f>
        <v>2026-04</v>
      </c>
      <c r="K717" s="8" t="n">
        <f aca="false">IF(C717="","",ROUND((C717-B717)*24,2))</f>
        <v>11.57</v>
      </c>
      <c r="L717" s="2" t="n">
        <f aca="false">INDEX('SLA Policy'!$B$2:$B$5,MATCH(E717,'SLA Policy'!$A$2:$A$5,0))</f>
        <v>24</v>
      </c>
      <c r="M717" s="2" t="str">
        <f aca="false">IF(K717="","Open",IF(K717&lt;=L717,"Yes","No"))</f>
        <v>Yes</v>
      </c>
    </row>
    <row r="718" customFormat="false" ht="15" hidden="false" customHeight="false" outlineLevel="0" collapsed="false">
      <c r="A718" s="2" t="s">
        <v>752</v>
      </c>
      <c r="B718" s="7" t="n">
        <v>46124.7631944444</v>
      </c>
      <c r="C718" s="7" t="n">
        <v>46125.5631944445</v>
      </c>
      <c r="D718" s="2" t="s">
        <v>22</v>
      </c>
      <c r="E718" s="2" t="s">
        <v>23</v>
      </c>
      <c r="F718" s="2" t="s">
        <v>28</v>
      </c>
      <c r="G718" s="2" t="s">
        <v>25</v>
      </c>
      <c r="H718" s="2" t="n">
        <v>4</v>
      </c>
      <c r="I718" s="2" t="str">
        <f aca="false">IF(C718="","Open","Resolved")</f>
        <v>Resolved</v>
      </c>
      <c r="J718" s="2" t="str">
        <f aca="false">TEXT(B718,"yyyy-mm")</f>
        <v>2026-04</v>
      </c>
      <c r="K718" s="8" t="n">
        <f aca="false">IF(C718="","",ROUND((C718-B718)*24,2))</f>
        <v>19.2</v>
      </c>
      <c r="L718" s="2" t="n">
        <f aca="false">INDEX('SLA Policy'!$B$2:$B$5,MATCH(E718,'SLA Policy'!$A$2:$A$5,0))</f>
        <v>8</v>
      </c>
      <c r="M718" s="2" t="str">
        <f aca="false">IF(K718="","Open",IF(K718&lt;=L718,"Yes","No"))</f>
        <v>No</v>
      </c>
    </row>
    <row r="719" customFormat="false" ht="15" hidden="false" customHeight="false" outlineLevel="0" collapsed="false">
      <c r="A719" s="2" t="s">
        <v>753</v>
      </c>
      <c r="B719" s="7" t="n">
        <v>46125.3145833333</v>
      </c>
      <c r="C719" s="7" t="n">
        <v>46126.7513888889</v>
      </c>
      <c r="D719" s="2" t="s">
        <v>22</v>
      </c>
      <c r="E719" s="2" t="s">
        <v>32</v>
      </c>
      <c r="F719" s="2" t="s">
        <v>27</v>
      </c>
      <c r="G719" s="2" t="s">
        <v>25</v>
      </c>
      <c r="H719" s="2" t="n">
        <v>4</v>
      </c>
      <c r="I719" s="2" t="str">
        <f aca="false">IF(C719="","Open","Resolved")</f>
        <v>Resolved</v>
      </c>
      <c r="J719" s="2" t="str">
        <f aca="false">TEXT(B719,"yyyy-mm")</f>
        <v>2026-04</v>
      </c>
      <c r="K719" s="8" t="n">
        <f aca="false">IF(C719="","",ROUND((C719-B719)*24,2))</f>
        <v>34.48</v>
      </c>
      <c r="L719" s="2" t="n">
        <f aca="false">INDEX('SLA Policy'!$B$2:$B$5,MATCH(E719,'SLA Policy'!$A$2:$A$5,0))</f>
        <v>72</v>
      </c>
      <c r="M719" s="2" t="str">
        <f aca="false">IF(K719="","Open",IF(K719&lt;=L719,"Yes","No"))</f>
        <v>Yes</v>
      </c>
    </row>
    <row r="720" customFormat="false" ht="15" hidden="false" customHeight="false" outlineLevel="0" collapsed="false">
      <c r="A720" s="2" t="s">
        <v>754</v>
      </c>
      <c r="B720" s="7" t="n">
        <v>46125.5381944445</v>
      </c>
      <c r="C720" s="7" t="n">
        <v>46125.9881944444</v>
      </c>
      <c r="D720" s="2" t="s">
        <v>31</v>
      </c>
      <c r="E720" s="2" t="s">
        <v>23</v>
      </c>
      <c r="F720" s="2" t="s">
        <v>27</v>
      </c>
      <c r="G720" s="2" t="s">
        <v>33</v>
      </c>
      <c r="H720" s="2" t="n">
        <v>5</v>
      </c>
      <c r="I720" s="2" t="str">
        <f aca="false">IF(C720="","Open","Resolved")</f>
        <v>Resolved</v>
      </c>
      <c r="J720" s="2" t="str">
        <f aca="false">TEXT(B720,"yyyy-mm")</f>
        <v>2026-04</v>
      </c>
      <c r="K720" s="8" t="n">
        <f aca="false">IF(C720="","",ROUND((C720-B720)*24,2))</f>
        <v>10.8</v>
      </c>
      <c r="L720" s="2" t="n">
        <f aca="false">INDEX('SLA Policy'!$B$2:$B$5,MATCH(E720,'SLA Policy'!$A$2:$A$5,0))</f>
        <v>8</v>
      </c>
      <c r="M720" s="2" t="str">
        <f aca="false">IF(K720="","Open",IF(K720&lt;=L720,"Yes","No"))</f>
        <v>No</v>
      </c>
    </row>
    <row r="721" customFormat="false" ht="15" hidden="false" customHeight="false" outlineLevel="0" collapsed="false">
      <c r="A721" s="2" t="s">
        <v>755</v>
      </c>
      <c r="B721" s="7" t="n">
        <v>46125.5736111111</v>
      </c>
      <c r="C721" s="7" t="n">
        <v>46125.78125</v>
      </c>
      <c r="D721" s="2" t="s">
        <v>42</v>
      </c>
      <c r="E721" s="2" t="s">
        <v>23</v>
      </c>
      <c r="F721" s="2" t="s">
        <v>28</v>
      </c>
      <c r="G721" s="2" t="s">
        <v>29</v>
      </c>
      <c r="H721" s="2" t="n">
        <v>5</v>
      </c>
      <c r="I721" s="2" t="str">
        <f aca="false">IF(C721="","Open","Resolved")</f>
        <v>Resolved</v>
      </c>
      <c r="J721" s="2" t="str">
        <f aca="false">TEXT(B721,"yyyy-mm")</f>
        <v>2026-04</v>
      </c>
      <c r="K721" s="8" t="n">
        <f aca="false">IF(C721="","",ROUND((C721-B721)*24,2))</f>
        <v>4.98</v>
      </c>
      <c r="L721" s="2" t="n">
        <f aca="false">INDEX('SLA Policy'!$B$2:$B$5,MATCH(E721,'SLA Policy'!$A$2:$A$5,0))</f>
        <v>8</v>
      </c>
      <c r="M721" s="2" t="str">
        <f aca="false">IF(K721="","Open",IF(K721&lt;=L721,"Yes","No"))</f>
        <v>Yes</v>
      </c>
    </row>
    <row r="722" customFormat="false" ht="15" hidden="false" customHeight="false" outlineLevel="0" collapsed="false">
      <c r="A722" s="2" t="s">
        <v>756</v>
      </c>
      <c r="B722" s="7" t="n">
        <v>46125.6020833333</v>
      </c>
      <c r="C722" s="7" t="n">
        <v>46126.79375</v>
      </c>
      <c r="D722" s="2" t="s">
        <v>27</v>
      </c>
      <c r="E722" s="2" t="s">
        <v>35</v>
      </c>
      <c r="F722" s="2" t="s">
        <v>27</v>
      </c>
      <c r="G722" s="2" t="s">
        <v>29</v>
      </c>
      <c r="H722" s="2" t="n">
        <v>4</v>
      </c>
      <c r="I722" s="2" t="str">
        <f aca="false">IF(C722="","Open","Resolved")</f>
        <v>Resolved</v>
      </c>
      <c r="J722" s="2" t="str">
        <f aca="false">TEXT(B722,"yyyy-mm")</f>
        <v>2026-04</v>
      </c>
      <c r="K722" s="8" t="n">
        <f aca="false">IF(C722="","",ROUND((C722-B722)*24,2))</f>
        <v>28.6</v>
      </c>
      <c r="L722" s="2" t="n">
        <f aca="false">INDEX('SLA Policy'!$B$2:$B$5,MATCH(E722,'SLA Policy'!$A$2:$A$5,0))</f>
        <v>24</v>
      </c>
      <c r="M722" s="2" t="str">
        <f aca="false">IF(K722="","Open",IF(K722&lt;=L722,"Yes","No"))</f>
        <v>No</v>
      </c>
    </row>
    <row r="723" customFormat="false" ht="15" hidden="false" customHeight="false" outlineLevel="0" collapsed="false">
      <c r="A723" s="2" t="s">
        <v>757</v>
      </c>
      <c r="B723" s="7" t="n">
        <v>46125.6784722222</v>
      </c>
      <c r="C723" s="7" t="n">
        <v>46126.5381944445</v>
      </c>
      <c r="D723" s="2" t="s">
        <v>22</v>
      </c>
      <c r="E723" s="2" t="s">
        <v>35</v>
      </c>
      <c r="F723" s="2" t="s">
        <v>24</v>
      </c>
      <c r="G723" s="2" t="s">
        <v>25</v>
      </c>
      <c r="H723" s="2" t="n">
        <v>5</v>
      </c>
      <c r="I723" s="2" t="str">
        <f aca="false">IF(C723="","Open","Resolved")</f>
        <v>Resolved</v>
      </c>
      <c r="J723" s="2" t="str">
        <f aca="false">TEXT(B723,"yyyy-mm")</f>
        <v>2026-04</v>
      </c>
      <c r="K723" s="8" t="n">
        <f aca="false">IF(C723="","",ROUND((C723-B723)*24,2))</f>
        <v>20.63</v>
      </c>
      <c r="L723" s="2" t="n">
        <f aca="false">INDEX('SLA Policy'!$B$2:$B$5,MATCH(E723,'SLA Policy'!$A$2:$A$5,0))</f>
        <v>24</v>
      </c>
      <c r="M723" s="2" t="str">
        <f aca="false">IF(K723="","Open",IF(K723&lt;=L723,"Yes","No"))</f>
        <v>Yes</v>
      </c>
    </row>
    <row r="724" customFormat="false" ht="15" hidden="false" customHeight="false" outlineLevel="0" collapsed="false">
      <c r="A724" s="2" t="s">
        <v>758</v>
      </c>
      <c r="B724" s="7" t="n">
        <v>46126.4680555556</v>
      </c>
      <c r="C724" s="7" t="n">
        <v>46127.0277777778</v>
      </c>
      <c r="D724" s="2" t="s">
        <v>22</v>
      </c>
      <c r="E724" s="2" t="s">
        <v>23</v>
      </c>
      <c r="F724" s="2" t="s">
        <v>38</v>
      </c>
      <c r="G724" s="2" t="s">
        <v>25</v>
      </c>
      <c r="H724" s="2" t="n">
        <v>5</v>
      </c>
      <c r="I724" s="2" t="str">
        <f aca="false">IF(C724="","Open","Resolved")</f>
        <v>Resolved</v>
      </c>
      <c r="J724" s="2" t="str">
        <f aca="false">TEXT(B724,"yyyy-mm")</f>
        <v>2026-04</v>
      </c>
      <c r="K724" s="8" t="n">
        <f aca="false">IF(C724="","",ROUND((C724-B724)*24,2))</f>
        <v>13.43</v>
      </c>
      <c r="L724" s="2" t="n">
        <f aca="false">INDEX('SLA Policy'!$B$2:$B$5,MATCH(E724,'SLA Policy'!$A$2:$A$5,0))</f>
        <v>8</v>
      </c>
      <c r="M724" s="2" t="str">
        <f aca="false">IF(K724="","Open",IF(K724&lt;=L724,"Yes","No"))</f>
        <v>No</v>
      </c>
    </row>
    <row r="725" customFormat="false" ht="15" hidden="false" customHeight="false" outlineLevel="0" collapsed="false">
      <c r="A725" s="2" t="s">
        <v>759</v>
      </c>
      <c r="B725" s="7" t="n">
        <v>46126.5729166667</v>
      </c>
      <c r="C725" s="7" t="n">
        <v>46126.7465277778</v>
      </c>
      <c r="D725" s="2" t="s">
        <v>31</v>
      </c>
      <c r="E725" s="2" t="s">
        <v>40</v>
      </c>
      <c r="F725" s="2" t="s">
        <v>27</v>
      </c>
      <c r="G725" s="2" t="s">
        <v>33</v>
      </c>
      <c r="H725" s="2" t="n">
        <v>4</v>
      </c>
      <c r="I725" s="2" t="str">
        <f aca="false">IF(C725="","Open","Resolved")</f>
        <v>Resolved</v>
      </c>
      <c r="J725" s="2" t="str">
        <f aca="false">TEXT(B725,"yyyy-mm")</f>
        <v>2026-04</v>
      </c>
      <c r="K725" s="8" t="n">
        <f aca="false">IF(C725="","",ROUND((C725-B725)*24,2))</f>
        <v>4.17</v>
      </c>
      <c r="L725" s="2" t="n">
        <f aca="false">INDEX('SLA Policy'!$B$2:$B$5,MATCH(E725,'SLA Policy'!$A$2:$A$5,0))</f>
        <v>4</v>
      </c>
      <c r="M725" s="2" t="str">
        <f aca="false">IF(K725="","Open",IF(K725&lt;=L725,"Yes","No"))</f>
        <v>No</v>
      </c>
    </row>
    <row r="726" customFormat="false" ht="15" hidden="false" customHeight="false" outlineLevel="0" collapsed="false">
      <c r="A726" s="2" t="s">
        <v>760</v>
      </c>
      <c r="B726" s="7" t="n">
        <v>46126.6534722222</v>
      </c>
      <c r="C726" s="7" t="n">
        <v>46127.0576388889</v>
      </c>
      <c r="D726" s="2" t="s">
        <v>31</v>
      </c>
      <c r="E726" s="2" t="s">
        <v>35</v>
      </c>
      <c r="F726" s="2" t="s">
        <v>27</v>
      </c>
      <c r="G726" s="2" t="s">
        <v>33</v>
      </c>
      <c r="H726" s="2" t="n">
        <v>5</v>
      </c>
      <c r="I726" s="2" t="str">
        <f aca="false">IF(C726="","Open","Resolved")</f>
        <v>Resolved</v>
      </c>
      <c r="J726" s="2" t="str">
        <f aca="false">TEXT(B726,"yyyy-mm")</f>
        <v>2026-04</v>
      </c>
      <c r="K726" s="8" t="n">
        <f aca="false">IF(C726="","",ROUND((C726-B726)*24,2))</f>
        <v>9.7</v>
      </c>
      <c r="L726" s="2" t="n">
        <f aca="false">INDEX('SLA Policy'!$B$2:$B$5,MATCH(E726,'SLA Policy'!$A$2:$A$5,0))</f>
        <v>24</v>
      </c>
      <c r="M726" s="2" t="str">
        <f aca="false">IF(K726="","Open",IF(K726&lt;=L726,"Yes","No"))</f>
        <v>Yes</v>
      </c>
    </row>
    <row r="727" customFormat="false" ht="15" hidden="false" customHeight="false" outlineLevel="0" collapsed="false">
      <c r="A727" s="2" t="s">
        <v>761</v>
      </c>
      <c r="B727" s="7" t="n">
        <v>46126.7465277778</v>
      </c>
      <c r="C727" s="7" t="n">
        <v>46127.0715277778</v>
      </c>
      <c r="D727" s="2" t="s">
        <v>31</v>
      </c>
      <c r="E727" s="2" t="s">
        <v>35</v>
      </c>
      <c r="F727" s="2" t="s">
        <v>38</v>
      </c>
      <c r="G727" s="2" t="s">
        <v>33</v>
      </c>
      <c r="H727" s="2" t="n">
        <v>5</v>
      </c>
      <c r="I727" s="2" t="str">
        <f aca="false">IF(C727="","Open","Resolved")</f>
        <v>Resolved</v>
      </c>
      <c r="J727" s="2" t="str">
        <f aca="false">TEXT(B727,"yyyy-mm")</f>
        <v>2026-04</v>
      </c>
      <c r="K727" s="8" t="n">
        <f aca="false">IF(C727="","",ROUND((C727-B727)*24,2))</f>
        <v>7.8</v>
      </c>
      <c r="L727" s="2" t="n">
        <f aca="false">INDEX('SLA Policy'!$B$2:$B$5,MATCH(E727,'SLA Policy'!$A$2:$A$5,0))</f>
        <v>24</v>
      </c>
      <c r="M727" s="2" t="str">
        <f aca="false">IF(K727="","Open",IF(K727&lt;=L727,"Yes","No"))</f>
        <v>Yes</v>
      </c>
    </row>
    <row r="728" customFormat="false" ht="15" hidden="false" customHeight="false" outlineLevel="0" collapsed="false">
      <c r="A728" s="2" t="s">
        <v>762</v>
      </c>
      <c r="B728" s="7" t="n">
        <v>46126.7736111111</v>
      </c>
      <c r="C728" s="7" t="n">
        <v>46126.8347222222</v>
      </c>
      <c r="D728" s="2" t="s">
        <v>42</v>
      </c>
      <c r="E728" s="2" t="s">
        <v>40</v>
      </c>
      <c r="F728" s="2" t="s">
        <v>27</v>
      </c>
      <c r="G728" s="2" t="s">
        <v>29</v>
      </c>
      <c r="H728" s="2" t="n">
        <v>5</v>
      </c>
      <c r="I728" s="2" t="str">
        <f aca="false">IF(C728="","Open","Resolved")</f>
        <v>Resolved</v>
      </c>
      <c r="J728" s="2" t="str">
        <f aca="false">TEXT(B728,"yyyy-mm")</f>
        <v>2026-04</v>
      </c>
      <c r="K728" s="8" t="n">
        <f aca="false">IF(C728="","",ROUND((C728-B728)*24,2))</f>
        <v>1.47</v>
      </c>
      <c r="L728" s="2" t="n">
        <f aca="false">INDEX('SLA Policy'!$B$2:$B$5,MATCH(E728,'SLA Policy'!$A$2:$A$5,0))</f>
        <v>4</v>
      </c>
      <c r="M728" s="2" t="str">
        <f aca="false">IF(K728="","Open",IF(K728&lt;=L728,"Yes","No"))</f>
        <v>Yes</v>
      </c>
    </row>
    <row r="729" customFormat="false" ht="15" hidden="false" customHeight="false" outlineLevel="0" collapsed="false">
      <c r="A729" s="2" t="s">
        <v>763</v>
      </c>
      <c r="B729" s="7" t="n">
        <v>46126.775</v>
      </c>
      <c r="C729" s="7" t="n">
        <v>46129.8423611111</v>
      </c>
      <c r="D729" s="2" t="s">
        <v>31</v>
      </c>
      <c r="E729" s="2" t="s">
        <v>32</v>
      </c>
      <c r="F729" s="2" t="s">
        <v>38</v>
      </c>
      <c r="G729" s="2" t="s">
        <v>33</v>
      </c>
      <c r="H729" s="2" t="n">
        <v>2</v>
      </c>
      <c r="I729" s="2" t="str">
        <f aca="false">IF(C729="","Open","Resolved")</f>
        <v>Resolved</v>
      </c>
      <c r="J729" s="2" t="str">
        <f aca="false">TEXT(B729,"yyyy-mm")</f>
        <v>2026-04</v>
      </c>
      <c r="K729" s="8" t="n">
        <f aca="false">IF(C729="","",ROUND((C729-B729)*24,2))</f>
        <v>73.62</v>
      </c>
      <c r="L729" s="2" t="n">
        <f aca="false">INDEX('SLA Policy'!$B$2:$B$5,MATCH(E729,'SLA Policy'!$A$2:$A$5,0))</f>
        <v>72</v>
      </c>
      <c r="M729" s="2" t="str">
        <f aca="false">IF(K729="","Open",IF(K729&lt;=L729,"Yes","No"))</f>
        <v>No</v>
      </c>
    </row>
    <row r="730" customFormat="false" ht="15" hidden="false" customHeight="false" outlineLevel="0" collapsed="false">
      <c r="A730" s="2" t="s">
        <v>764</v>
      </c>
      <c r="B730" s="7" t="n">
        <v>46126.7861111111</v>
      </c>
      <c r="C730" s="7" t="n">
        <v>46129.7055555556</v>
      </c>
      <c r="D730" s="2" t="s">
        <v>31</v>
      </c>
      <c r="E730" s="2" t="s">
        <v>32</v>
      </c>
      <c r="F730" s="2" t="s">
        <v>24</v>
      </c>
      <c r="G730" s="2" t="s">
        <v>33</v>
      </c>
      <c r="H730" s="2" t="n">
        <v>3</v>
      </c>
      <c r="I730" s="2" t="str">
        <f aca="false">IF(C730="","Open","Resolved")</f>
        <v>Resolved</v>
      </c>
      <c r="J730" s="2" t="str">
        <f aca="false">TEXT(B730,"yyyy-mm")</f>
        <v>2026-04</v>
      </c>
      <c r="K730" s="8" t="n">
        <f aca="false">IF(C730="","",ROUND((C730-B730)*24,2))</f>
        <v>70.07</v>
      </c>
      <c r="L730" s="2" t="n">
        <f aca="false">INDEX('SLA Policy'!$B$2:$B$5,MATCH(E730,'SLA Policy'!$A$2:$A$5,0))</f>
        <v>72</v>
      </c>
      <c r="M730" s="2" t="str">
        <f aca="false">IF(K730="","Open",IF(K730&lt;=L730,"Yes","No"))</f>
        <v>Yes</v>
      </c>
    </row>
    <row r="731" customFormat="false" ht="15" hidden="false" customHeight="false" outlineLevel="0" collapsed="false">
      <c r="A731" s="2" t="s">
        <v>765</v>
      </c>
      <c r="B731" s="7" t="n">
        <v>46127.3680555556</v>
      </c>
      <c r="C731" s="7" t="n">
        <v>46127.7618055556</v>
      </c>
      <c r="D731" s="2" t="s">
        <v>31</v>
      </c>
      <c r="E731" s="2" t="s">
        <v>35</v>
      </c>
      <c r="F731" s="2" t="s">
        <v>38</v>
      </c>
      <c r="G731" s="2" t="s">
        <v>33</v>
      </c>
      <c r="H731" s="2" t="n">
        <v>5</v>
      </c>
      <c r="I731" s="2" t="str">
        <f aca="false">IF(C731="","Open","Resolved")</f>
        <v>Resolved</v>
      </c>
      <c r="J731" s="2" t="str">
        <f aca="false">TEXT(B731,"yyyy-mm")</f>
        <v>2026-04</v>
      </c>
      <c r="K731" s="8" t="n">
        <f aca="false">IF(C731="","",ROUND((C731-B731)*24,2))</f>
        <v>9.45</v>
      </c>
      <c r="L731" s="2" t="n">
        <f aca="false">INDEX('SLA Policy'!$B$2:$B$5,MATCH(E731,'SLA Policy'!$A$2:$A$5,0))</f>
        <v>24</v>
      </c>
      <c r="M731" s="2" t="str">
        <f aca="false">IF(K731="","Open",IF(K731&lt;=L731,"Yes","No"))</f>
        <v>Yes</v>
      </c>
    </row>
    <row r="732" customFormat="false" ht="15" hidden="false" customHeight="false" outlineLevel="0" collapsed="false">
      <c r="A732" s="2" t="s">
        <v>766</v>
      </c>
      <c r="B732" s="7" t="n">
        <v>46127.3701388889</v>
      </c>
      <c r="C732" s="7" t="n">
        <v>46128.2270833333</v>
      </c>
      <c r="D732" s="2" t="s">
        <v>27</v>
      </c>
      <c r="E732" s="2" t="s">
        <v>35</v>
      </c>
      <c r="F732" s="2" t="s">
        <v>24</v>
      </c>
      <c r="G732" s="2" t="s">
        <v>29</v>
      </c>
      <c r="H732" s="2" t="n">
        <v>3</v>
      </c>
      <c r="I732" s="2" t="str">
        <f aca="false">IF(C732="","Open","Resolved")</f>
        <v>Resolved</v>
      </c>
      <c r="J732" s="2" t="str">
        <f aca="false">TEXT(B732,"yyyy-mm")</f>
        <v>2026-04</v>
      </c>
      <c r="K732" s="8" t="n">
        <f aca="false">IF(C732="","",ROUND((C732-B732)*24,2))</f>
        <v>20.57</v>
      </c>
      <c r="L732" s="2" t="n">
        <f aca="false">INDEX('SLA Policy'!$B$2:$B$5,MATCH(E732,'SLA Policy'!$A$2:$A$5,0))</f>
        <v>24</v>
      </c>
      <c r="M732" s="2" t="str">
        <f aca="false">IF(K732="","Open",IF(K732&lt;=L732,"Yes","No"))</f>
        <v>Yes</v>
      </c>
    </row>
    <row r="733" customFormat="false" ht="15" hidden="false" customHeight="false" outlineLevel="0" collapsed="false">
      <c r="A733" s="2" t="s">
        <v>767</v>
      </c>
      <c r="B733" s="7" t="n">
        <v>46127.3902777778</v>
      </c>
      <c r="C733" s="7" t="n">
        <v>46127.8993055556</v>
      </c>
      <c r="D733" s="2" t="s">
        <v>31</v>
      </c>
      <c r="E733" s="2" t="s">
        <v>35</v>
      </c>
      <c r="F733" s="2" t="s">
        <v>24</v>
      </c>
      <c r="G733" s="2" t="s">
        <v>33</v>
      </c>
      <c r="H733" s="2" t="n">
        <v>4</v>
      </c>
      <c r="I733" s="2" t="str">
        <f aca="false">IF(C733="","Open","Resolved")</f>
        <v>Resolved</v>
      </c>
      <c r="J733" s="2" t="str">
        <f aca="false">TEXT(B733,"yyyy-mm")</f>
        <v>2026-04</v>
      </c>
      <c r="K733" s="8" t="n">
        <f aca="false">IF(C733="","",ROUND((C733-B733)*24,2))</f>
        <v>12.22</v>
      </c>
      <c r="L733" s="2" t="n">
        <f aca="false">INDEX('SLA Policy'!$B$2:$B$5,MATCH(E733,'SLA Policy'!$A$2:$A$5,0))</f>
        <v>24</v>
      </c>
      <c r="M733" s="2" t="str">
        <f aca="false">IF(K733="","Open",IF(K733&lt;=L733,"Yes","No"))</f>
        <v>Yes</v>
      </c>
    </row>
    <row r="734" customFormat="false" ht="15" hidden="false" customHeight="false" outlineLevel="0" collapsed="false">
      <c r="A734" s="2" t="s">
        <v>768</v>
      </c>
      <c r="B734" s="7" t="n">
        <v>46127.4770833333</v>
      </c>
      <c r="C734" s="7" t="n">
        <v>46128.7715277778</v>
      </c>
      <c r="D734" s="2" t="s">
        <v>31</v>
      </c>
      <c r="E734" s="2" t="s">
        <v>32</v>
      </c>
      <c r="F734" s="2" t="s">
        <v>24</v>
      </c>
      <c r="G734" s="2" t="s">
        <v>33</v>
      </c>
      <c r="H734" s="2" t="n">
        <v>4</v>
      </c>
      <c r="I734" s="2" t="str">
        <f aca="false">IF(C734="","Open","Resolved")</f>
        <v>Resolved</v>
      </c>
      <c r="J734" s="2" t="str">
        <f aca="false">TEXT(B734,"yyyy-mm")</f>
        <v>2026-04</v>
      </c>
      <c r="K734" s="8" t="n">
        <f aca="false">IF(C734="","",ROUND((C734-B734)*24,2))</f>
        <v>31.07</v>
      </c>
      <c r="L734" s="2" t="n">
        <f aca="false">INDEX('SLA Policy'!$B$2:$B$5,MATCH(E734,'SLA Policy'!$A$2:$A$5,0))</f>
        <v>72</v>
      </c>
      <c r="M734" s="2" t="str">
        <f aca="false">IF(K734="","Open",IF(K734&lt;=L734,"Yes","No"))</f>
        <v>Yes</v>
      </c>
    </row>
    <row r="735" customFormat="false" ht="15" hidden="false" customHeight="false" outlineLevel="0" collapsed="false">
      <c r="A735" s="2" t="s">
        <v>769</v>
      </c>
      <c r="B735" s="7" t="n">
        <v>46127.5958333333</v>
      </c>
      <c r="C735" s="7" t="n">
        <v>46128.1638888889</v>
      </c>
      <c r="D735" s="2" t="s">
        <v>42</v>
      </c>
      <c r="E735" s="2" t="s">
        <v>32</v>
      </c>
      <c r="F735" s="2" t="s">
        <v>38</v>
      </c>
      <c r="G735" s="2" t="s">
        <v>29</v>
      </c>
      <c r="H735" s="2" t="n">
        <v>5</v>
      </c>
      <c r="I735" s="2" t="str">
        <f aca="false">IF(C735="","Open","Resolved")</f>
        <v>Resolved</v>
      </c>
      <c r="J735" s="2" t="str">
        <f aca="false">TEXT(B735,"yyyy-mm")</f>
        <v>2026-04</v>
      </c>
      <c r="K735" s="8" t="n">
        <f aca="false">IF(C735="","",ROUND((C735-B735)*24,2))</f>
        <v>13.63</v>
      </c>
      <c r="L735" s="2" t="n">
        <f aca="false">INDEX('SLA Policy'!$B$2:$B$5,MATCH(E735,'SLA Policy'!$A$2:$A$5,0))</f>
        <v>72</v>
      </c>
      <c r="M735" s="2" t="str">
        <f aca="false">IF(K735="","Open",IF(K735&lt;=L735,"Yes","No"))</f>
        <v>Yes</v>
      </c>
    </row>
    <row r="736" customFormat="false" ht="15" hidden="false" customHeight="false" outlineLevel="0" collapsed="false">
      <c r="A736" s="2" t="s">
        <v>770</v>
      </c>
      <c r="B736" s="7" t="n">
        <v>46127.6888888889</v>
      </c>
      <c r="C736" s="7" t="n">
        <v>46127.7611111111</v>
      </c>
      <c r="D736" s="2" t="s">
        <v>42</v>
      </c>
      <c r="E736" s="2" t="s">
        <v>23</v>
      </c>
      <c r="F736" s="2" t="s">
        <v>38</v>
      </c>
      <c r="G736" s="2" t="s">
        <v>29</v>
      </c>
      <c r="H736" s="2" t="n">
        <v>4</v>
      </c>
      <c r="I736" s="2" t="str">
        <f aca="false">IF(C736="","Open","Resolved")</f>
        <v>Resolved</v>
      </c>
      <c r="J736" s="2" t="str">
        <f aca="false">TEXT(B736,"yyyy-mm")</f>
        <v>2026-04</v>
      </c>
      <c r="K736" s="8" t="n">
        <f aca="false">IF(C736="","",ROUND((C736-B736)*24,2))</f>
        <v>1.73</v>
      </c>
      <c r="L736" s="2" t="n">
        <f aca="false">INDEX('SLA Policy'!$B$2:$B$5,MATCH(E736,'SLA Policy'!$A$2:$A$5,0))</f>
        <v>8</v>
      </c>
      <c r="M736" s="2" t="str">
        <f aca="false">IF(K736="","Open",IF(K736&lt;=L736,"Yes","No"))</f>
        <v>Yes</v>
      </c>
    </row>
    <row r="737" customFormat="false" ht="15" hidden="false" customHeight="false" outlineLevel="0" collapsed="false">
      <c r="A737" s="2" t="s">
        <v>771</v>
      </c>
      <c r="B737" s="7" t="n">
        <v>46128.3069444444</v>
      </c>
      <c r="C737" s="7" t="n">
        <v>46131.5479166667</v>
      </c>
      <c r="D737" s="2" t="s">
        <v>31</v>
      </c>
      <c r="E737" s="2" t="s">
        <v>32</v>
      </c>
      <c r="F737" s="2" t="s">
        <v>27</v>
      </c>
      <c r="G737" s="2" t="s">
        <v>33</v>
      </c>
      <c r="H737" s="2" t="n">
        <v>2</v>
      </c>
      <c r="I737" s="2" t="str">
        <f aca="false">IF(C737="","Open","Resolved")</f>
        <v>Resolved</v>
      </c>
      <c r="J737" s="2" t="str">
        <f aca="false">TEXT(B737,"yyyy-mm")</f>
        <v>2026-04</v>
      </c>
      <c r="K737" s="8" t="n">
        <f aca="false">IF(C737="","",ROUND((C737-B737)*24,2))</f>
        <v>77.78</v>
      </c>
      <c r="L737" s="2" t="n">
        <f aca="false">INDEX('SLA Policy'!$B$2:$B$5,MATCH(E737,'SLA Policy'!$A$2:$A$5,0))</f>
        <v>72</v>
      </c>
      <c r="M737" s="2" t="str">
        <f aca="false">IF(K737="","Open",IF(K737&lt;=L737,"Yes","No"))</f>
        <v>No</v>
      </c>
    </row>
    <row r="738" customFormat="false" ht="15" hidden="false" customHeight="false" outlineLevel="0" collapsed="false">
      <c r="A738" s="2" t="s">
        <v>772</v>
      </c>
      <c r="B738" s="7" t="n">
        <v>46128.3895833333</v>
      </c>
      <c r="C738" s="7" t="n">
        <v>46129.0152777778</v>
      </c>
      <c r="D738" s="2" t="s">
        <v>42</v>
      </c>
      <c r="E738" s="2" t="s">
        <v>32</v>
      </c>
      <c r="F738" s="2" t="s">
        <v>24</v>
      </c>
      <c r="G738" s="2" t="s">
        <v>29</v>
      </c>
      <c r="H738" s="2" t="n">
        <v>4</v>
      </c>
      <c r="I738" s="2" t="str">
        <f aca="false">IF(C738="","Open","Resolved")</f>
        <v>Resolved</v>
      </c>
      <c r="J738" s="2" t="str">
        <f aca="false">TEXT(B738,"yyyy-mm")</f>
        <v>2026-04</v>
      </c>
      <c r="K738" s="8" t="n">
        <f aca="false">IF(C738="","",ROUND((C738-B738)*24,2))</f>
        <v>15.02</v>
      </c>
      <c r="L738" s="2" t="n">
        <f aca="false">INDEX('SLA Policy'!$B$2:$B$5,MATCH(E738,'SLA Policy'!$A$2:$A$5,0))</f>
        <v>72</v>
      </c>
      <c r="M738" s="2" t="str">
        <f aca="false">IF(K738="","Open",IF(K738&lt;=L738,"Yes","No"))</f>
        <v>Yes</v>
      </c>
    </row>
    <row r="739" customFormat="false" ht="15" hidden="false" customHeight="false" outlineLevel="0" collapsed="false">
      <c r="A739" s="2" t="s">
        <v>773</v>
      </c>
      <c r="B739" s="7" t="n">
        <v>46128.4451388889</v>
      </c>
      <c r="C739" s="7" t="n">
        <v>46129.9097222222</v>
      </c>
      <c r="D739" s="2" t="s">
        <v>22</v>
      </c>
      <c r="E739" s="2" t="s">
        <v>32</v>
      </c>
      <c r="F739" s="2" t="s">
        <v>27</v>
      </c>
      <c r="G739" s="2" t="s">
        <v>25</v>
      </c>
      <c r="H739" s="2" t="n">
        <v>4</v>
      </c>
      <c r="I739" s="2" t="str">
        <f aca="false">IF(C739="","Open","Resolved")</f>
        <v>Resolved</v>
      </c>
      <c r="J739" s="2" t="str">
        <f aca="false">TEXT(B739,"yyyy-mm")</f>
        <v>2026-04</v>
      </c>
      <c r="K739" s="8" t="n">
        <f aca="false">IF(C739="","",ROUND((C739-B739)*24,2))</f>
        <v>35.15</v>
      </c>
      <c r="L739" s="2" t="n">
        <f aca="false">INDEX('SLA Policy'!$B$2:$B$5,MATCH(E739,'SLA Policy'!$A$2:$A$5,0))</f>
        <v>72</v>
      </c>
      <c r="M739" s="2" t="str">
        <f aca="false">IF(K739="","Open",IF(K739&lt;=L739,"Yes","No"))</f>
        <v>Yes</v>
      </c>
    </row>
    <row r="740" customFormat="false" ht="15" hidden="false" customHeight="false" outlineLevel="0" collapsed="false">
      <c r="A740" s="2" t="s">
        <v>774</v>
      </c>
      <c r="B740" s="7" t="n">
        <v>46128.5888888889</v>
      </c>
      <c r="C740" s="7" t="n">
        <v>46128.6638888889</v>
      </c>
      <c r="D740" s="2" t="s">
        <v>31</v>
      </c>
      <c r="E740" s="2" t="s">
        <v>23</v>
      </c>
      <c r="F740" s="2" t="s">
        <v>38</v>
      </c>
      <c r="G740" s="2" t="s">
        <v>33</v>
      </c>
      <c r="H740" s="2" t="n">
        <v>5</v>
      </c>
      <c r="I740" s="2" t="str">
        <f aca="false">IF(C740="","Open","Resolved")</f>
        <v>Resolved</v>
      </c>
      <c r="J740" s="2" t="str">
        <f aca="false">TEXT(B740,"yyyy-mm")</f>
        <v>2026-04</v>
      </c>
      <c r="K740" s="8" t="n">
        <f aca="false">IF(C740="","",ROUND((C740-B740)*24,2))</f>
        <v>1.8</v>
      </c>
      <c r="L740" s="2" t="n">
        <f aca="false">INDEX('SLA Policy'!$B$2:$B$5,MATCH(E740,'SLA Policy'!$A$2:$A$5,0))</f>
        <v>8</v>
      </c>
      <c r="M740" s="2" t="str">
        <f aca="false">IF(K740="","Open",IF(K740&lt;=L740,"Yes","No"))</f>
        <v>Yes</v>
      </c>
    </row>
    <row r="741" customFormat="false" ht="15" hidden="false" customHeight="false" outlineLevel="0" collapsed="false">
      <c r="A741" s="2" t="s">
        <v>775</v>
      </c>
      <c r="B741" s="7" t="n">
        <v>46128.5930555556</v>
      </c>
      <c r="C741" s="7" t="n">
        <v>46128.7895833333</v>
      </c>
      <c r="D741" s="2" t="s">
        <v>22</v>
      </c>
      <c r="E741" s="2" t="s">
        <v>40</v>
      </c>
      <c r="F741" s="2" t="s">
        <v>38</v>
      </c>
      <c r="G741" s="2" t="s">
        <v>25</v>
      </c>
      <c r="H741" s="2" t="n">
        <v>5</v>
      </c>
      <c r="I741" s="2" t="str">
        <f aca="false">IF(C741="","Open","Resolved")</f>
        <v>Resolved</v>
      </c>
      <c r="J741" s="2" t="str">
        <f aca="false">TEXT(B741,"yyyy-mm")</f>
        <v>2026-04</v>
      </c>
      <c r="K741" s="8" t="n">
        <f aca="false">IF(C741="","",ROUND((C741-B741)*24,2))</f>
        <v>4.72</v>
      </c>
      <c r="L741" s="2" t="n">
        <f aca="false">INDEX('SLA Policy'!$B$2:$B$5,MATCH(E741,'SLA Policy'!$A$2:$A$5,0))</f>
        <v>4</v>
      </c>
      <c r="M741" s="2" t="str">
        <f aca="false">IF(K741="","Open",IF(K741&lt;=L741,"Yes","No"))</f>
        <v>No</v>
      </c>
    </row>
    <row r="742" customFormat="false" ht="15" hidden="false" customHeight="false" outlineLevel="0" collapsed="false">
      <c r="A742" s="2" t="s">
        <v>776</v>
      </c>
      <c r="B742" s="7" t="n">
        <v>46128.6048611111</v>
      </c>
      <c r="C742" s="7" t="n">
        <v>46131.5875</v>
      </c>
      <c r="D742" s="2" t="s">
        <v>48</v>
      </c>
      <c r="E742" s="2" t="s">
        <v>32</v>
      </c>
      <c r="F742" s="2" t="s">
        <v>38</v>
      </c>
      <c r="G742" s="2" t="s">
        <v>25</v>
      </c>
      <c r="H742" s="2" t="n">
        <v>1</v>
      </c>
      <c r="I742" s="2" t="str">
        <f aca="false">IF(C742="","Open","Resolved")</f>
        <v>Resolved</v>
      </c>
      <c r="J742" s="2" t="str">
        <f aca="false">TEXT(B742,"yyyy-mm")</f>
        <v>2026-04</v>
      </c>
      <c r="K742" s="8" t="n">
        <f aca="false">IF(C742="","",ROUND((C742-B742)*24,2))</f>
        <v>71.58</v>
      </c>
      <c r="L742" s="2" t="n">
        <f aca="false">INDEX('SLA Policy'!$B$2:$B$5,MATCH(E742,'SLA Policy'!$A$2:$A$5,0))</f>
        <v>72</v>
      </c>
      <c r="M742" s="2" t="str">
        <f aca="false">IF(K742="","Open",IF(K742&lt;=L742,"Yes","No"))</f>
        <v>Yes</v>
      </c>
    </row>
    <row r="743" customFormat="false" ht="15" hidden="false" customHeight="false" outlineLevel="0" collapsed="false">
      <c r="A743" s="2" t="s">
        <v>777</v>
      </c>
      <c r="B743" s="7" t="n">
        <v>46128.7791666667</v>
      </c>
      <c r="C743" s="7" t="n">
        <v>46129.0006944445</v>
      </c>
      <c r="D743" s="2" t="s">
        <v>31</v>
      </c>
      <c r="E743" s="2" t="s">
        <v>35</v>
      </c>
      <c r="F743" s="2" t="s">
        <v>27</v>
      </c>
      <c r="G743" s="2" t="s">
        <v>33</v>
      </c>
      <c r="H743" s="2" t="n">
        <v>5</v>
      </c>
      <c r="I743" s="2" t="str">
        <f aca="false">IF(C743="","Open","Resolved")</f>
        <v>Resolved</v>
      </c>
      <c r="J743" s="2" t="str">
        <f aca="false">TEXT(B743,"yyyy-mm")</f>
        <v>2026-04</v>
      </c>
      <c r="K743" s="8" t="n">
        <f aca="false">IF(C743="","",ROUND((C743-B743)*24,2))</f>
        <v>5.32</v>
      </c>
      <c r="L743" s="2" t="n">
        <f aca="false">INDEX('SLA Policy'!$B$2:$B$5,MATCH(E743,'SLA Policy'!$A$2:$A$5,0))</f>
        <v>24</v>
      </c>
      <c r="M743" s="2" t="str">
        <f aca="false">IF(K743="","Open",IF(K743&lt;=L743,"Yes","No"))</f>
        <v>Yes</v>
      </c>
    </row>
    <row r="744" customFormat="false" ht="15" hidden="false" customHeight="false" outlineLevel="0" collapsed="false">
      <c r="A744" s="2" t="s">
        <v>778</v>
      </c>
      <c r="B744" s="7" t="n">
        <v>46129.4013888889</v>
      </c>
      <c r="C744" s="7" t="n">
        <v>46130.6041666667</v>
      </c>
      <c r="D744" s="2" t="s">
        <v>48</v>
      </c>
      <c r="E744" s="2" t="s">
        <v>35</v>
      </c>
      <c r="F744" s="2" t="s">
        <v>38</v>
      </c>
      <c r="G744" s="2" t="s">
        <v>25</v>
      </c>
      <c r="H744" s="2" t="n">
        <v>3</v>
      </c>
      <c r="I744" s="2" t="str">
        <f aca="false">IF(C744="","Open","Resolved")</f>
        <v>Resolved</v>
      </c>
      <c r="J744" s="2" t="str">
        <f aca="false">TEXT(B744,"yyyy-mm")</f>
        <v>2026-04</v>
      </c>
      <c r="K744" s="8" t="n">
        <f aca="false">IF(C744="","",ROUND((C744-B744)*24,2))</f>
        <v>28.87</v>
      </c>
      <c r="L744" s="2" t="n">
        <f aca="false">INDEX('SLA Policy'!$B$2:$B$5,MATCH(E744,'SLA Policy'!$A$2:$A$5,0))</f>
        <v>24</v>
      </c>
      <c r="M744" s="2" t="str">
        <f aca="false">IF(K744="","Open",IF(K744&lt;=L744,"Yes","No"))</f>
        <v>No</v>
      </c>
    </row>
    <row r="745" customFormat="false" ht="15" hidden="false" customHeight="false" outlineLevel="0" collapsed="false">
      <c r="A745" s="2" t="s">
        <v>779</v>
      </c>
      <c r="B745" s="7" t="n">
        <v>46129.4666666667</v>
      </c>
      <c r="C745" s="7" t="n">
        <v>46130.1486111111</v>
      </c>
      <c r="D745" s="2" t="s">
        <v>42</v>
      </c>
      <c r="E745" s="2" t="s">
        <v>35</v>
      </c>
      <c r="F745" s="2" t="s">
        <v>28</v>
      </c>
      <c r="G745" s="2" t="s">
        <v>29</v>
      </c>
      <c r="H745" s="2" t="n">
        <v>4</v>
      </c>
      <c r="I745" s="2" t="str">
        <f aca="false">IF(C745="","Open","Resolved")</f>
        <v>Resolved</v>
      </c>
      <c r="J745" s="2" t="str">
        <f aca="false">TEXT(B745,"yyyy-mm")</f>
        <v>2026-04</v>
      </c>
      <c r="K745" s="8" t="n">
        <f aca="false">IF(C745="","",ROUND((C745-B745)*24,2))</f>
        <v>16.37</v>
      </c>
      <c r="L745" s="2" t="n">
        <f aca="false">INDEX('SLA Policy'!$B$2:$B$5,MATCH(E745,'SLA Policy'!$A$2:$A$5,0))</f>
        <v>24</v>
      </c>
      <c r="M745" s="2" t="str">
        <f aca="false">IF(K745="","Open",IF(K745&lt;=L745,"Yes","No"))</f>
        <v>Yes</v>
      </c>
    </row>
    <row r="746" customFormat="false" ht="15" hidden="false" customHeight="false" outlineLevel="0" collapsed="false">
      <c r="A746" s="2" t="s">
        <v>780</v>
      </c>
      <c r="B746" s="7" t="n">
        <v>46129.4854166667</v>
      </c>
      <c r="C746" s="7" t="n">
        <v>46130.7069444444</v>
      </c>
      <c r="D746" s="2" t="s">
        <v>27</v>
      </c>
      <c r="E746" s="2" t="s">
        <v>32</v>
      </c>
      <c r="F746" s="2" t="s">
        <v>27</v>
      </c>
      <c r="G746" s="2" t="s">
        <v>29</v>
      </c>
      <c r="H746" s="2" t="n">
        <v>3</v>
      </c>
      <c r="I746" s="2" t="str">
        <f aca="false">IF(C746="","Open","Resolved")</f>
        <v>Resolved</v>
      </c>
      <c r="J746" s="2" t="str">
        <f aca="false">TEXT(B746,"yyyy-mm")</f>
        <v>2026-04</v>
      </c>
      <c r="K746" s="8" t="n">
        <f aca="false">IF(C746="","",ROUND((C746-B746)*24,2))</f>
        <v>29.32</v>
      </c>
      <c r="L746" s="2" t="n">
        <f aca="false">INDEX('SLA Policy'!$B$2:$B$5,MATCH(E746,'SLA Policy'!$A$2:$A$5,0))</f>
        <v>72</v>
      </c>
      <c r="M746" s="2" t="str">
        <f aca="false">IF(K746="","Open",IF(K746&lt;=L746,"Yes","No"))</f>
        <v>Yes</v>
      </c>
    </row>
    <row r="747" customFormat="false" ht="15" hidden="false" customHeight="false" outlineLevel="0" collapsed="false">
      <c r="A747" s="2" t="s">
        <v>781</v>
      </c>
      <c r="B747" s="7" t="n">
        <v>46129.5034722222</v>
      </c>
      <c r="C747" s="7" t="n">
        <v>46129.6868055556</v>
      </c>
      <c r="D747" s="2" t="s">
        <v>27</v>
      </c>
      <c r="E747" s="2" t="s">
        <v>35</v>
      </c>
      <c r="F747" s="2" t="s">
        <v>28</v>
      </c>
      <c r="G747" s="2" t="s">
        <v>29</v>
      </c>
      <c r="H747" s="2" t="n">
        <v>5</v>
      </c>
      <c r="I747" s="2" t="str">
        <f aca="false">IF(C747="","Open","Resolved")</f>
        <v>Resolved</v>
      </c>
      <c r="J747" s="2" t="str">
        <f aca="false">TEXT(B747,"yyyy-mm")</f>
        <v>2026-04</v>
      </c>
      <c r="K747" s="8" t="n">
        <f aca="false">IF(C747="","",ROUND((C747-B747)*24,2))</f>
        <v>4.4</v>
      </c>
      <c r="L747" s="2" t="n">
        <f aca="false">INDEX('SLA Policy'!$B$2:$B$5,MATCH(E747,'SLA Policy'!$A$2:$A$5,0))</f>
        <v>24</v>
      </c>
      <c r="M747" s="2" t="str">
        <f aca="false">IF(K747="","Open",IF(K747&lt;=L747,"Yes","No"))</f>
        <v>Yes</v>
      </c>
    </row>
    <row r="748" customFormat="false" ht="15" hidden="false" customHeight="false" outlineLevel="0" collapsed="false">
      <c r="A748" s="2" t="s">
        <v>782</v>
      </c>
      <c r="B748" s="7" t="n">
        <v>46129.6069444444</v>
      </c>
      <c r="C748" s="7" t="n">
        <v>46134.6722222222</v>
      </c>
      <c r="D748" s="2" t="s">
        <v>31</v>
      </c>
      <c r="E748" s="2" t="s">
        <v>32</v>
      </c>
      <c r="F748" s="2" t="s">
        <v>27</v>
      </c>
      <c r="G748" s="2" t="s">
        <v>33</v>
      </c>
      <c r="H748" s="2" t="n">
        <v>1</v>
      </c>
      <c r="I748" s="2" t="str">
        <f aca="false">IF(C748="","Open","Resolved")</f>
        <v>Resolved</v>
      </c>
      <c r="J748" s="2" t="str">
        <f aca="false">TEXT(B748,"yyyy-mm")</f>
        <v>2026-04</v>
      </c>
      <c r="K748" s="8" t="n">
        <f aca="false">IF(C748="","",ROUND((C748-B748)*24,2))</f>
        <v>121.57</v>
      </c>
      <c r="L748" s="2" t="n">
        <f aca="false">INDEX('SLA Policy'!$B$2:$B$5,MATCH(E748,'SLA Policy'!$A$2:$A$5,0))</f>
        <v>72</v>
      </c>
      <c r="M748" s="2" t="str">
        <f aca="false">IF(K748="","Open",IF(K748&lt;=L748,"Yes","No"))</f>
        <v>No</v>
      </c>
    </row>
    <row r="749" customFormat="false" ht="15" hidden="false" customHeight="false" outlineLevel="0" collapsed="false">
      <c r="A749" s="2" t="s">
        <v>783</v>
      </c>
      <c r="B749" s="7" t="n">
        <v>46129.7604166667</v>
      </c>
      <c r="C749" s="7" t="n">
        <v>46130.2604166667</v>
      </c>
      <c r="D749" s="2" t="s">
        <v>31</v>
      </c>
      <c r="E749" s="2" t="s">
        <v>35</v>
      </c>
      <c r="F749" s="2" t="s">
        <v>27</v>
      </c>
      <c r="G749" s="2" t="s">
        <v>33</v>
      </c>
      <c r="H749" s="2" t="n">
        <v>5</v>
      </c>
      <c r="I749" s="2" t="str">
        <f aca="false">IF(C749="","Open","Resolved")</f>
        <v>Resolved</v>
      </c>
      <c r="J749" s="2" t="str">
        <f aca="false">TEXT(B749,"yyyy-mm")</f>
        <v>2026-04</v>
      </c>
      <c r="K749" s="8" t="n">
        <f aca="false">IF(C749="","",ROUND((C749-B749)*24,2))</f>
        <v>12</v>
      </c>
      <c r="L749" s="2" t="n">
        <f aca="false">INDEX('SLA Policy'!$B$2:$B$5,MATCH(E749,'SLA Policy'!$A$2:$A$5,0))</f>
        <v>24</v>
      </c>
      <c r="M749" s="2" t="str">
        <f aca="false">IF(K749="","Open",IF(K749&lt;=L749,"Yes","No"))</f>
        <v>Yes</v>
      </c>
    </row>
    <row r="750" customFormat="false" ht="15" hidden="false" customHeight="false" outlineLevel="0" collapsed="false">
      <c r="A750" s="2" t="s">
        <v>784</v>
      </c>
      <c r="B750" s="7" t="n">
        <v>46129.7652777778</v>
      </c>
      <c r="C750" s="7" t="n">
        <v>46132.0694444445</v>
      </c>
      <c r="D750" s="2" t="s">
        <v>22</v>
      </c>
      <c r="E750" s="2" t="s">
        <v>35</v>
      </c>
      <c r="F750" s="2" t="s">
        <v>24</v>
      </c>
      <c r="G750" s="2" t="s">
        <v>25</v>
      </c>
      <c r="H750" s="2" t="n">
        <v>3</v>
      </c>
      <c r="I750" s="2" t="str">
        <f aca="false">IF(C750="","Open","Resolved")</f>
        <v>Resolved</v>
      </c>
      <c r="J750" s="2" t="str">
        <f aca="false">TEXT(B750,"yyyy-mm")</f>
        <v>2026-04</v>
      </c>
      <c r="K750" s="8" t="n">
        <f aca="false">IF(C750="","",ROUND((C750-B750)*24,2))</f>
        <v>55.3</v>
      </c>
      <c r="L750" s="2" t="n">
        <f aca="false">INDEX('SLA Policy'!$B$2:$B$5,MATCH(E750,'SLA Policy'!$A$2:$A$5,0))</f>
        <v>24</v>
      </c>
      <c r="M750" s="2" t="str">
        <f aca="false">IF(K750="","Open",IF(K750&lt;=L750,"Yes","No"))</f>
        <v>No</v>
      </c>
    </row>
    <row r="751" customFormat="false" ht="15" hidden="false" customHeight="false" outlineLevel="0" collapsed="false">
      <c r="A751" s="2" t="s">
        <v>785</v>
      </c>
      <c r="B751" s="7" t="n">
        <v>46130.4631944444</v>
      </c>
      <c r="C751" s="7" t="n">
        <v>46131.7076388889</v>
      </c>
      <c r="D751" s="2" t="s">
        <v>31</v>
      </c>
      <c r="E751" s="2" t="s">
        <v>35</v>
      </c>
      <c r="F751" s="2" t="s">
        <v>27</v>
      </c>
      <c r="G751" s="2" t="s">
        <v>33</v>
      </c>
      <c r="H751" s="2" t="n">
        <v>4</v>
      </c>
      <c r="I751" s="2" t="str">
        <f aca="false">IF(C751="","Open","Resolved")</f>
        <v>Resolved</v>
      </c>
      <c r="J751" s="2" t="str">
        <f aca="false">TEXT(B751,"yyyy-mm")</f>
        <v>2026-04</v>
      </c>
      <c r="K751" s="8" t="n">
        <f aca="false">IF(C751="","",ROUND((C751-B751)*24,2))</f>
        <v>29.87</v>
      </c>
      <c r="L751" s="2" t="n">
        <f aca="false">INDEX('SLA Policy'!$B$2:$B$5,MATCH(E751,'SLA Policy'!$A$2:$A$5,0))</f>
        <v>24</v>
      </c>
      <c r="M751" s="2" t="str">
        <f aca="false">IF(K751="","Open",IF(K751&lt;=L751,"Yes","No"))</f>
        <v>No</v>
      </c>
    </row>
    <row r="752" customFormat="false" ht="15" hidden="false" customHeight="false" outlineLevel="0" collapsed="false">
      <c r="A752" s="2" t="s">
        <v>786</v>
      </c>
      <c r="B752" s="7" t="n">
        <v>46130.56875</v>
      </c>
      <c r="C752" s="7" t="n">
        <v>46132.2986111111</v>
      </c>
      <c r="D752" s="2" t="s">
        <v>31</v>
      </c>
      <c r="E752" s="2" t="s">
        <v>32</v>
      </c>
      <c r="F752" s="2" t="s">
        <v>38</v>
      </c>
      <c r="G752" s="2" t="s">
        <v>33</v>
      </c>
      <c r="H752" s="2" t="n">
        <v>3</v>
      </c>
      <c r="I752" s="2" t="str">
        <f aca="false">IF(C752="","Open","Resolved")</f>
        <v>Resolved</v>
      </c>
      <c r="J752" s="2" t="str">
        <f aca="false">TEXT(B752,"yyyy-mm")</f>
        <v>2026-04</v>
      </c>
      <c r="K752" s="8" t="n">
        <f aca="false">IF(C752="","",ROUND((C752-B752)*24,2))</f>
        <v>41.52</v>
      </c>
      <c r="L752" s="2" t="n">
        <f aca="false">INDEX('SLA Policy'!$B$2:$B$5,MATCH(E752,'SLA Policy'!$A$2:$A$5,0))</f>
        <v>72</v>
      </c>
      <c r="M752" s="2" t="str">
        <f aca="false">IF(K752="","Open",IF(K752&lt;=L752,"Yes","No"))</f>
        <v>Yes</v>
      </c>
    </row>
    <row r="753" customFormat="false" ht="15" hidden="false" customHeight="false" outlineLevel="0" collapsed="false">
      <c r="A753" s="2" t="s">
        <v>787</v>
      </c>
      <c r="B753" s="7" t="n">
        <v>46130.6111111111</v>
      </c>
      <c r="C753" s="7" t="n">
        <v>46131.2465277778</v>
      </c>
      <c r="D753" s="2" t="s">
        <v>31</v>
      </c>
      <c r="E753" s="2" t="s">
        <v>35</v>
      </c>
      <c r="F753" s="2" t="s">
        <v>38</v>
      </c>
      <c r="G753" s="2" t="s">
        <v>33</v>
      </c>
      <c r="H753" s="2" t="n">
        <v>5</v>
      </c>
      <c r="I753" s="2" t="str">
        <f aca="false">IF(C753="","Open","Resolved")</f>
        <v>Resolved</v>
      </c>
      <c r="J753" s="2" t="str">
        <f aca="false">TEXT(B753,"yyyy-mm")</f>
        <v>2026-04</v>
      </c>
      <c r="K753" s="8" t="n">
        <f aca="false">IF(C753="","",ROUND((C753-B753)*24,2))</f>
        <v>15.25</v>
      </c>
      <c r="L753" s="2" t="n">
        <f aca="false">INDEX('SLA Policy'!$B$2:$B$5,MATCH(E753,'SLA Policy'!$A$2:$A$5,0))</f>
        <v>24</v>
      </c>
      <c r="M753" s="2" t="str">
        <f aca="false">IF(K753="","Open",IF(K753&lt;=L753,"Yes","No"))</f>
        <v>Yes</v>
      </c>
    </row>
    <row r="754" customFormat="false" ht="15" hidden="false" customHeight="false" outlineLevel="0" collapsed="false">
      <c r="A754" s="2" t="s">
        <v>788</v>
      </c>
      <c r="B754" s="7" t="n">
        <v>46131.4631944444</v>
      </c>
      <c r="C754" s="7" t="n">
        <v>46131.9465277778</v>
      </c>
      <c r="D754" s="2" t="s">
        <v>42</v>
      </c>
      <c r="E754" s="2" t="s">
        <v>32</v>
      </c>
      <c r="F754" s="2" t="s">
        <v>27</v>
      </c>
      <c r="G754" s="2" t="s">
        <v>29</v>
      </c>
      <c r="H754" s="2" t="n">
        <v>4</v>
      </c>
      <c r="I754" s="2" t="str">
        <f aca="false">IF(C754="","Open","Resolved")</f>
        <v>Resolved</v>
      </c>
      <c r="J754" s="2" t="str">
        <f aca="false">TEXT(B754,"yyyy-mm")</f>
        <v>2026-04</v>
      </c>
      <c r="K754" s="8" t="n">
        <f aca="false">IF(C754="","",ROUND((C754-B754)*24,2))</f>
        <v>11.6</v>
      </c>
      <c r="L754" s="2" t="n">
        <f aca="false">INDEX('SLA Policy'!$B$2:$B$5,MATCH(E754,'SLA Policy'!$A$2:$A$5,0))</f>
        <v>72</v>
      </c>
      <c r="M754" s="2" t="str">
        <f aca="false">IF(K754="","Open",IF(K754&lt;=L754,"Yes","No"))</f>
        <v>Yes</v>
      </c>
    </row>
    <row r="755" customFormat="false" ht="15" hidden="false" customHeight="false" outlineLevel="0" collapsed="false">
      <c r="A755" s="2" t="s">
        <v>789</v>
      </c>
      <c r="B755" s="7" t="n">
        <v>46131.5208333333</v>
      </c>
      <c r="C755" s="7" t="n">
        <v>46132.1020833333</v>
      </c>
      <c r="D755" s="2" t="s">
        <v>31</v>
      </c>
      <c r="E755" s="2" t="s">
        <v>35</v>
      </c>
      <c r="F755" s="2" t="s">
        <v>27</v>
      </c>
      <c r="G755" s="2" t="s">
        <v>33</v>
      </c>
      <c r="H755" s="2" t="n">
        <v>5</v>
      </c>
      <c r="I755" s="2" t="str">
        <f aca="false">IF(C755="","Open","Resolved")</f>
        <v>Resolved</v>
      </c>
      <c r="J755" s="2" t="str">
        <f aca="false">TEXT(B755,"yyyy-mm")</f>
        <v>2026-04</v>
      </c>
      <c r="K755" s="8" t="n">
        <f aca="false">IF(C755="","",ROUND((C755-B755)*24,2))</f>
        <v>13.95</v>
      </c>
      <c r="L755" s="2" t="n">
        <f aca="false">INDEX('SLA Policy'!$B$2:$B$5,MATCH(E755,'SLA Policy'!$A$2:$A$5,0))</f>
        <v>24</v>
      </c>
      <c r="M755" s="2" t="str">
        <f aca="false">IF(K755="","Open",IF(K755&lt;=L755,"Yes","No"))</f>
        <v>Yes</v>
      </c>
    </row>
    <row r="756" customFormat="false" ht="15" hidden="false" customHeight="false" outlineLevel="0" collapsed="false">
      <c r="A756" s="2" t="s">
        <v>790</v>
      </c>
      <c r="B756" s="7" t="n">
        <v>46131.7180555556</v>
      </c>
      <c r="C756" s="7" t="n">
        <v>46131.8902777778</v>
      </c>
      <c r="D756" s="2" t="s">
        <v>48</v>
      </c>
      <c r="E756" s="2" t="s">
        <v>23</v>
      </c>
      <c r="F756" s="2" t="s">
        <v>27</v>
      </c>
      <c r="G756" s="2" t="s">
        <v>25</v>
      </c>
      <c r="H756" s="2" t="n">
        <v>5</v>
      </c>
      <c r="I756" s="2" t="str">
        <f aca="false">IF(C756="","Open","Resolved")</f>
        <v>Resolved</v>
      </c>
      <c r="J756" s="2" t="str">
        <f aca="false">TEXT(B756,"yyyy-mm")</f>
        <v>2026-04</v>
      </c>
      <c r="K756" s="8" t="n">
        <f aca="false">IF(C756="","",ROUND((C756-B756)*24,2))</f>
        <v>4.13</v>
      </c>
      <c r="L756" s="2" t="n">
        <f aca="false">INDEX('SLA Policy'!$B$2:$B$5,MATCH(E756,'SLA Policy'!$A$2:$A$5,0))</f>
        <v>8</v>
      </c>
      <c r="M756" s="2" t="str">
        <f aca="false">IF(K756="","Open",IF(K756&lt;=L756,"Yes","No"))</f>
        <v>Yes</v>
      </c>
    </row>
    <row r="757" customFormat="false" ht="15" hidden="false" customHeight="false" outlineLevel="0" collapsed="false">
      <c r="A757" s="2" t="s">
        <v>791</v>
      </c>
      <c r="B757" s="7" t="n">
        <v>46132.3</v>
      </c>
      <c r="C757" s="7" t="n">
        <v>46137.1298611111</v>
      </c>
      <c r="D757" s="2" t="s">
        <v>48</v>
      </c>
      <c r="E757" s="2" t="s">
        <v>32</v>
      </c>
      <c r="F757" s="2" t="s">
        <v>28</v>
      </c>
      <c r="G757" s="2" t="s">
        <v>25</v>
      </c>
      <c r="H757" s="2" t="n">
        <v>1</v>
      </c>
      <c r="I757" s="2" t="str">
        <f aca="false">IF(C757="","Open","Resolved")</f>
        <v>Resolved</v>
      </c>
      <c r="J757" s="2" t="str">
        <f aca="false">TEXT(B757,"yyyy-mm")</f>
        <v>2026-04</v>
      </c>
      <c r="K757" s="8" t="n">
        <f aca="false">IF(C757="","",ROUND((C757-B757)*24,2))</f>
        <v>115.92</v>
      </c>
      <c r="L757" s="2" t="n">
        <f aca="false">INDEX('SLA Policy'!$B$2:$B$5,MATCH(E757,'SLA Policy'!$A$2:$A$5,0))</f>
        <v>72</v>
      </c>
      <c r="M757" s="2" t="str">
        <f aca="false">IF(K757="","Open",IF(K757&lt;=L757,"Yes","No"))</f>
        <v>No</v>
      </c>
    </row>
    <row r="758" customFormat="false" ht="15" hidden="false" customHeight="false" outlineLevel="0" collapsed="false">
      <c r="A758" s="2" t="s">
        <v>792</v>
      </c>
      <c r="B758" s="7" t="n">
        <v>46132.4569444444</v>
      </c>
      <c r="C758" s="7" t="n">
        <v>46133.3118055556</v>
      </c>
      <c r="D758" s="2" t="s">
        <v>31</v>
      </c>
      <c r="E758" s="2" t="s">
        <v>35</v>
      </c>
      <c r="F758" s="2" t="s">
        <v>24</v>
      </c>
      <c r="G758" s="2" t="s">
        <v>33</v>
      </c>
      <c r="H758" s="2" t="n">
        <v>4</v>
      </c>
      <c r="I758" s="2" t="str">
        <f aca="false">IF(C758="","Open","Resolved")</f>
        <v>Resolved</v>
      </c>
      <c r="J758" s="2" t="str">
        <f aca="false">TEXT(B758,"yyyy-mm")</f>
        <v>2026-04</v>
      </c>
      <c r="K758" s="8" t="n">
        <f aca="false">IF(C758="","",ROUND((C758-B758)*24,2))</f>
        <v>20.52</v>
      </c>
      <c r="L758" s="2" t="n">
        <f aca="false">INDEX('SLA Policy'!$B$2:$B$5,MATCH(E758,'SLA Policy'!$A$2:$A$5,0))</f>
        <v>24</v>
      </c>
      <c r="M758" s="2" t="str">
        <f aca="false">IF(K758="","Open",IF(K758&lt;=L758,"Yes","No"))</f>
        <v>Yes</v>
      </c>
    </row>
    <row r="759" customFormat="false" ht="15" hidden="false" customHeight="false" outlineLevel="0" collapsed="false">
      <c r="A759" s="2" t="s">
        <v>793</v>
      </c>
      <c r="B759" s="7" t="n">
        <v>46132.5208333333</v>
      </c>
      <c r="C759" s="7" t="n">
        <v>46132.7270833333</v>
      </c>
      <c r="D759" s="2" t="s">
        <v>27</v>
      </c>
      <c r="E759" s="2" t="s">
        <v>23</v>
      </c>
      <c r="F759" s="2" t="s">
        <v>27</v>
      </c>
      <c r="G759" s="2" t="s">
        <v>29</v>
      </c>
      <c r="H759" s="2" t="n">
        <v>4</v>
      </c>
      <c r="I759" s="2" t="str">
        <f aca="false">IF(C759="","Open","Resolved")</f>
        <v>Resolved</v>
      </c>
      <c r="J759" s="2" t="str">
        <f aca="false">TEXT(B759,"yyyy-mm")</f>
        <v>2026-04</v>
      </c>
      <c r="K759" s="8" t="n">
        <f aca="false">IF(C759="","",ROUND((C759-B759)*24,2))</f>
        <v>4.95</v>
      </c>
      <c r="L759" s="2" t="n">
        <f aca="false">INDEX('SLA Policy'!$B$2:$B$5,MATCH(E759,'SLA Policy'!$A$2:$A$5,0))</f>
        <v>8</v>
      </c>
      <c r="M759" s="2" t="str">
        <f aca="false">IF(K759="","Open",IF(K759&lt;=L759,"Yes","No"))</f>
        <v>Yes</v>
      </c>
    </row>
    <row r="760" customFormat="false" ht="15" hidden="false" customHeight="false" outlineLevel="0" collapsed="false">
      <c r="A760" s="2" t="s">
        <v>794</v>
      </c>
      <c r="B760" s="7" t="n">
        <v>46132.5243055556</v>
      </c>
      <c r="C760" s="7" t="n">
        <v>46132.8666666667</v>
      </c>
      <c r="D760" s="2" t="s">
        <v>31</v>
      </c>
      <c r="E760" s="2" t="s">
        <v>23</v>
      </c>
      <c r="F760" s="2" t="s">
        <v>24</v>
      </c>
      <c r="G760" s="2" t="s">
        <v>33</v>
      </c>
      <c r="H760" s="2" t="n">
        <v>5</v>
      </c>
      <c r="I760" s="2" t="str">
        <f aca="false">IF(C760="","Open","Resolved")</f>
        <v>Resolved</v>
      </c>
      <c r="J760" s="2" t="str">
        <f aca="false">TEXT(B760,"yyyy-mm")</f>
        <v>2026-04</v>
      </c>
      <c r="K760" s="8" t="n">
        <f aca="false">IF(C760="","",ROUND((C760-B760)*24,2))</f>
        <v>8.22</v>
      </c>
      <c r="L760" s="2" t="n">
        <f aca="false">INDEX('SLA Policy'!$B$2:$B$5,MATCH(E760,'SLA Policy'!$A$2:$A$5,0))</f>
        <v>8</v>
      </c>
      <c r="M760" s="2" t="str">
        <f aca="false">IF(K760="","Open",IF(K760&lt;=L760,"Yes","No"))</f>
        <v>No</v>
      </c>
    </row>
    <row r="761" customFormat="false" ht="15" hidden="false" customHeight="false" outlineLevel="0" collapsed="false">
      <c r="A761" s="2" t="s">
        <v>795</v>
      </c>
      <c r="B761" s="7" t="n">
        <v>46132.5368055556</v>
      </c>
      <c r="C761" s="7" t="n">
        <v>46133.3826388889</v>
      </c>
      <c r="D761" s="2" t="s">
        <v>22</v>
      </c>
      <c r="E761" s="2" t="s">
        <v>35</v>
      </c>
      <c r="F761" s="2" t="s">
        <v>24</v>
      </c>
      <c r="G761" s="2" t="s">
        <v>25</v>
      </c>
      <c r="H761" s="2" t="n">
        <v>4</v>
      </c>
      <c r="I761" s="2" t="str">
        <f aca="false">IF(C761="","Open","Resolved")</f>
        <v>Resolved</v>
      </c>
      <c r="J761" s="2" t="str">
        <f aca="false">TEXT(B761,"yyyy-mm")</f>
        <v>2026-04</v>
      </c>
      <c r="K761" s="8" t="n">
        <f aca="false">IF(C761="","",ROUND((C761-B761)*24,2))</f>
        <v>20.3</v>
      </c>
      <c r="L761" s="2" t="n">
        <f aca="false">INDEX('SLA Policy'!$B$2:$B$5,MATCH(E761,'SLA Policy'!$A$2:$A$5,0))</f>
        <v>24</v>
      </c>
      <c r="M761" s="2" t="str">
        <f aca="false">IF(K761="","Open",IF(K761&lt;=L761,"Yes","No"))</f>
        <v>Yes</v>
      </c>
    </row>
    <row r="762" customFormat="false" ht="15" hidden="false" customHeight="false" outlineLevel="0" collapsed="false">
      <c r="A762" s="2" t="s">
        <v>796</v>
      </c>
      <c r="B762" s="7" t="n">
        <v>46132.78125</v>
      </c>
      <c r="C762" s="7" t="n">
        <v>46133.4666666667</v>
      </c>
      <c r="D762" s="2" t="s">
        <v>42</v>
      </c>
      <c r="E762" s="2" t="s">
        <v>35</v>
      </c>
      <c r="F762" s="2" t="s">
        <v>27</v>
      </c>
      <c r="G762" s="2" t="s">
        <v>29</v>
      </c>
      <c r="H762" s="2" t="n">
        <v>5</v>
      </c>
      <c r="I762" s="2" t="str">
        <f aca="false">IF(C762="","Open","Resolved")</f>
        <v>Resolved</v>
      </c>
      <c r="J762" s="2" t="str">
        <f aca="false">TEXT(B762,"yyyy-mm")</f>
        <v>2026-04</v>
      </c>
      <c r="K762" s="8" t="n">
        <f aca="false">IF(C762="","",ROUND((C762-B762)*24,2))</f>
        <v>16.45</v>
      </c>
      <c r="L762" s="2" t="n">
        <f aca="false">INDEX('SLA Policy'!$B$2:$B$5,MATCH(E762,'SLA Policy'!$A$2:$A$5,0))</f>
        <v>24</v>
      </c>
      <c r="M762" s="2" t="str">
        <f aca="false">IF(K762="","Open",IF(K762&lt;=L762,"Yes","No"))</f>
        <v>Yes</v>
      </c>
    </row>
    <row r="763" customFormat="false" ht="15" hidden="false" customHeight="false" outlineLevel="0" collapsed="false">
      <c r="A763" s="2" t="s">
        <v>797</v>
      </c>
      <c r="B763" s="7" t="n">
        <v>46133.3715277778</v>
      </c>
      <c r="C763" s="7" t="n">
        <v>46135.4222222222</v>
      </c>
      <c r="D763" s="2" t="s">
        <v>42</v>
      </c>
      <c r="E763" s="2" t="s">
        <v>32</v>
      </c>
      <c r="F763" s="2" t="s">
        <v>28</v>
      </c>
      <c r="G763" s="2" t="s">
        <v>29</v>
      </c>
      <c r="H763" s="2" t="n">
        <v>3</v>
      </c>
      <c r="I763" s="2" t="str">
        <f aca="false">IF(C763="","Open","Resolved")</f>
        <v>Resolved</v>
      </c>
      <c r="J763" s="2" t="str">
        <f aca="false">TEXT(B763,"yyyy-mm")</f>
        <v>2026-04</v>
      </c>
      <c r="K763" s="8" t="n">
        <f aca="false">IF(C763="","",ROUND((C763-B763)*24,2))</f>
        <v>49.22</v>
      </c>
      <c r="L763" s="2" t="n">
        <f aca="false">INDEX('SLA Policy'!$B$2:$B$5,MATCH(E763,'SLA Policy'!$A$2:$A$5,0))</f>
        <v>72</v>
      </c>
      <c r="M763" s="2" t="str">
        <f aca="false">IF(K763="","Open",IF(K763&lt;=L763,"Yes","No"))</f>
        <v>Yes</v>
      </c>
    </row>
    <row r="764" customFormat="false" ht="15" hidden="false" customHeight="false" outlineLevel="0" collapsed="false">
      <c r="A764" s="2" t="s">
        <v>798</v>
      </c>
      <c r="B764" s="7" t="n">
        <v>46133.5430555556</v>
      </c>
      <c r="C764" s="7" t="n">
        <v>46134.5604166667</v>
      </c>
      <c r="D764" s="2" t="s">
        <v>27</v>
      </c>
      <c r="E764" s="2" t="s">
        <v>35</v>
      </c>
      <c r="F764" s="2" t="s">
        <v>24</v>
      </c>
      <c r="G764" s="2" t="s">
        <v>29</v>
      </c>
      <c r="H764" s="2" t="n">
        <v>4</v>
      </c>
      <c r="I764" s="2" t="str">
        <f aca="false">IF(C764="","Open","Resolved")</f>
        <v>Resolved</v>
      </c>
      <c r="J764" s="2" t="str">
        <f aca="false">TEXT(B764,"yyyy-mm")</f>
        <v>2026-04</v>
      </c>
      <c r="K764" s="8" t="n">
        <f aca="false">IF(C764="","",ROUND((C764-B764)*24,2))</f>
        <v>24.42</v>
      </c>
      <c r="L764" s="2" t="n">
        <f aca="false">INDEX('SLA Policy'!$B$2:$B$5,MATCH(E764,'SLA Policy'!$A$2:$A$5,0))</f>
        <v>24</v>
      </c>
      <c r="M764" s="2" t="str">
        <f aca="false">IF(K764="","Open",IF(K764&lt;=L764,"Yes","No"))</f>
        <v>No</v>
      </c>
    </row>
    <row r="765" customFormat="false" ht="15" hidden="false" customHeight="false" outlineLevel="0" collapsed="false">
      <c r="A765" s="2" t="s">
        <v>799</v>
      </c>
      <c r="B765" s="7" t="n">
        <v>46133.5854166667</v>
      </c>
      <c r="C765" s="7" t="n">
        <v>46135.5152777778</v>
      </c>
      <c r="D765" s="2" t="s">
        <v>22</v>
      </c>
      <c r="E765" s="2" t="s">
        <v>35</v>
      </c>
      <c r="F765" s="2" t="s">
        <v>24</v>
      </c>
      <c r="G765" s="2" t="s">
        <v>25</v>
      </c>
      <c r="H765" s="2" t="n">
        <v>3</v>
      </c>
      <c r="I765" s="2" t="str">
        <f aca="false">IF(C765="","Open","Resolved")</f>
        <v>Resolved</v>
      </c>
      <c r="J765" s="2" t="str">
        <f aca="false">TEXT(B765,"yyyy-mm")</f>
        <v>2026-04</v>
      </c>
      <c r="K765" s="8" t="n">
        <f aca="false">IF(C765="","",ROUND((C765-B765)*24,2))</f>
        <v>46.32</v>
      </c>
      <c r="L765" s="2" t="n">
        <f aca="false">INDEX('SLA Policy'!$B$2:$B$5,MATCH(E765,'SLA Policy'!$A$2:$A$5,0))</f>
        <v>24</v>
      </c>
      <c r="M765" s="2" t="str">
        <f aca="false">IF(K765="","Open",IF(K765&lt;=L765,"Yes","No"))</f>
        <v>No</v>
      </c>
    </row>
    <row r="766" customFormat="false" ht="15" hidden="false" customHeight="false" outlineLevel="0" collapsed="false">
      <c r="A766" s="2" t="s">
        <v>800</v>
      </c>
      <c r="B766" s="7" t="n">
        <v>46133.6145833333</v>
      </c>
      <c r="C766" s="7" t="n">
        <v>46134.93125</v>
      </c>
      <c r="D766" s="2" t="s">
        <v>48</v>
      </c>
      <c r="E766" s="2" t="s">
        <v>23</v>
      </c>
      <c r="F766" s="2" t="s">
        <v>24</v>
      </c>
      <c r="G766" s="2" t="s">
        <v>25</v>
      </c>
      <c r="H766" s="2" t="n">
        <v>5</v>
      </c>
      <c r="I766" s="2" t="str">
        <f aca="false">IF(C766="","Open","Resolved")</f>
        <v>Resolved</v>
      </c>
      <c r="J766" s="2" t="str">
        <f aca="false">TEXT(B766,"yyyy-mm")</f>
        <v>2026-04</v>
      </c>
      <c r="K766" s="8" t="n">
        <f aca="false">IF(C766="","",ROUND((C766-B766)*24,2))</f>
        <v>31.6</v>
      </c>
      <c r="L766" s="2" t="n">
        <f aca="false">INDEX('SLA Policy'!$B$2:$B$5,MATCH(E766,'SLA Policy'!$A$2:$A$5,0))</f>
        <v>8</v>
      </c>
      <c r="M766" s="2" t="str">
        <f aca="false">IF(K766="","Open",IF(K766&lt;=L766,"Yes","No"))</f>
        <v>No</v>
      </c>
    </row>
    <row r="767" customFormat="false" ht="15" hidden="false" customHeight="false" outlineLevel="0" collapsed="false">
      <c r="A767" s="2" t="s">
        <v>801</v>
      </c>
      <c r="B767" s="7" t="n">
        <v>46133.775</v>
      </c>
      <c r="C767" s="7" t="n">
        <v>46134.1979166667</v>
      </c>
      <c r="D767" s="2" t="s">
        <v>31</v>
      </c>
      <c r="E767" s="2" t="s">
        <v>35</v>
      </c>
      <c r="F767" s="2" t="s">
        <v>27</v>
      </c>
      <c r="G767" s="2" t="s">
        <v>33</v>
      </c>
      <c r="H767" s="2" t="n">
        <v>5</v>
      </c>
      <c r="I767" s="2" t="str">
        <f aca="false">IF(C767="","Open","Resolved")</f>
        <v>Resolved</v>
      </c>
      <c r="J767" s="2" t="str">
        <f aca="false">TEXT(B767,"yyyy-mm")</f>
        <v>2026-04</v>
      </c>
      <c r="K767" s="8" t="n">
        <f aca="false">IF(C767="","",ROUND((C767-B767)*24,2))</f>
        <v>10.15</v>
      </c>
      <c r="L767" s="2" t="n">
        <f aca="false">INDEX('SLA Policy'!$B$2:$B$5,MATCH(E767,'SLA Policy'!$A$2:$A$5,0))</f>
        <v>24</v>
      </c>
      <c r="M767" s="2" t="str">
        <f aca="false">IF(K767="","Open",IF(K767&lt;=L767,"Yes","No"))</f>
        <v>Yes</v>
      </c>
    </row>
    <row r="768" customFormat="false" ht="15" hidden="false" customHeight="false" outlineLevel="0" collapsed="false">
      <c r="A768" s="2" t="s">
        <v>802</v>
      </c>
      <c r="B768" s="7" t="n">
        <v>46134.3152777778</v>
      </c>
      <c r="C768" s="7" t="n">
        <v>46134.8229166667</v>
      </c>
      <c r="D768" s="2" t="s">
        <v>48</v>
      </c>
      <c r="E768" s="2" t="s">
        <v>23</v>
      </c>
      <c r="F768" s="2" t="s">
        <v>38</v>
      </c>
      <c r="G768" s="2" t="s">
        <v>25</v>
      </c>
      <c r="H768" s="2" t="n">
        <v>4</v>
      </c>
      <c r="I768" s="2" t="str">
        <f aca="false">IF(C768="","Open","Resolved")</f>
        <v>Resolved</v>
      </c>
      <c r="J768" s="2" t="str">
        <f aca="false">TEXT(B768,"yyyy-mm")</f>
        <v>2026-04</v>
      </c>
      <c r="K768" s="8" t="n">
        <f aca="false">IF(C768="","",ROUND((C768-B768)*24,2))</f>
        <v>12.18</v>
      </c>
      <c r="L768" s="2" t="n">
        <f aca="false">INDEX('SLA Policy'!$B$2:$B$5,MATCH(E768,'SLA Policy'!$A$2:$A$5,0))</f>
        <v>8</v>
      </c>
      <c r="M768" s="2" t="str">
        <f aca="false">IF(K768="","Open",IF(K768&lt;=L768,"Yes","No"))</f>
        <v>No</v>
      </c>
    </row>
    <row r="769" customFormat="false" ht="15" hidden="false" customHeight="false" outlineLevel="0" collapsed="false">
      <c r="A769" s="2" t="s">
        <v>803</v>
      </c>
      <c r="B769" s="7" t="n">
        <v>46134.3270833333</v>
      </c>
      <c r="C769" s="7" t="n">
        <v>46134.7652777778</v>
      </c>
      <c r="D769" s="2" t="s">
        <v>31</v>
      </c>
      <c r="E769" s="2" t="s">
        <v>23</v>
      </c>
      <c r="F769" s="2" t="s">
        <v>24</v>
      </c>
      <c r="G769" s="2" t="s">
        <v>33</v>
      </c>
      <c r="H769" s="2" t="n">
        <v>3</v>
      </c>
      <c r="I769" s="2" t="str">
        <f aca="false">IF(C769="","Open","Resolved")</f>
        <v>Resolved</v>
      </c>
      <c r="J769" s="2" t="str">
        <f aca="false">TEXT(B769,"yyyy-mm")</f>
        <v>2026-04</v>
      </c>
      <c r="K769" s="8" t="n">
        <f aca="false">IF(C769="","",ROUND((C769-B769)*24,2))</f>
        <v>10.52</v>
      </c>
      <c r="L769" s="2" t="n">
        <f aca="false">INDEX('SLA Policy'!$B$2:$B$5,MATCH(E769,'SLA Policy'!$A$2:$A$5,0))</f>
        <v>8</v>
      </c>
      <c r="M769" s="2" t="str">
        <f aca="false">IF(K769="","Open",IF(K769&lt;=L769,"Yes","No"))</f>
        <v>No</v>
      </c>
    </row>
    <row r="770" customFormat="false" ht="15" hidden="false" customHeight="false" outlineLevel="0" collapsed="false">
      <c r="A770" s="2" t="s">
        <v>804</v>
      </c>
      <c r="B770" s="7" t="n">
        <v>46134.3763888889</v>
      </c>
      <c r="C770" s="7" t="n">
        <v>46134.5270833333</v>
      </c>
      <c r="D770" s="2" t="s">
        <v>31</v>
      </c>
      <c r="E770" s="2" t="s">
        <v>40</v>
      </c>
      <c r="F770" s="2" t="s">
        <v>24</v>
      </c>
      <c r="G770" s="2" t="s">
        <v>33</v>
      </c>
      <c r="H770" s="2" t="n">
        <v>5</v>
      </c>
      <c r="I770" s="2" t="str">
        <f aca="false">IF(C770="","Open","Resolved")</f>
        <v>Resolved</v>
      </c>
      <c r="J770" s="2" t="str">
        <f aca="false">TEXT(B770,"yyyy-mm")</f>
        <v>2026-04</v>
      </c>
      <c r="K770" s="8" t="n">
        <f aca="false">IF(C770="","",ROUND((C770-B770)*24,2))</f>
        <v>3.62</v>
      </c>
      <c r="L770" s="2" t="n">
        <f aca="false">INDEX('SLA Policy'!$B$2:$B$5,MATCH(E770,'SLA Policy'!$A$2:$A$5,0))</f>
        <v>4</v>
      </c>
      <c r="M770" s="2" t="str">
        <f aca="false">IF(K770="","Open",IF(K770&lt;=L770,"Yes","No"))</f>
        <v>Yes</v>
      </c>
    </row>
    <row r="771" customFormat="false" ht="15" hidden="false" customHeight="false" outlineLevel="0" collapsed="false">
      <c r="A771" s="2" t="s">
        <v>805</v>
      </c>
      <c r="B771" s="7" t="n">
        <v>46134.3791666667</v>
      </c>
      <c r="C771" s="7" t="n">
        <v>46135.2104166667</v>
      </c>
      <c r="D771" s="2" t="s">
        <v>42</v>
      </c>
      <c r="E771" s="2" t="s">
        <v>32</v>
      </c>
      <c r="F771" s="2" t="s">
        <v>28</v>
      </c>
      <c r="G771" s="2" t="s">
        <v>29</v>
      </c>
      <c r="H771" s="2" t="n">
        <v>4</v>
      </c>
      <c r="I771" s="2" t="str">
        <f aca="false">IF(C771="","Open","Resolved")</f>
        <v>Resolved</v>
      </c>
      <c r="J771" s="2" t="str">
        <f aca="false">TEXT(B771,"yyyy-mm")</f>
        <v>2026-04</v>
      </c>
      <c r="K771" s="8" t="n">
        <f aca="false">IF(C771="","",ROUND((C771-B771)*24,2))</f>
        <v>19.95</v>
      </c>
      <c r="L771" s="2" t="n">
        <f aca="false">INDEX('SLA Policy'!$B$2:$B$5,MATCH(E771,'SLA Policy'!$A$2:$A$5,0))</f>
        <v>72</v>
      </c>
      <c r="M771" s="2" t="str">
        <f aca="false">IF(K771="","Open",IF(K771&lt;=L771,"Yes","No"))</f>
        <v>Yes</v>
      </c>
    </row>
    <row r="772" customFormat="false" ht="15" hidden="false" customHeight="false" outlineLevel="0" collapsed="false">
      <c r="A772" s="2" t="s">
        <v>806</v>
      </c>
      <c r="B772" s="7" t="n">
        <v>46134.4097222222</v>
      </c>
      <c r="C772" s="7" t="n">
        <v>46134.9416666667</v>
      </c>
      <c r="D772" s="2" t="s">
        <v>48</v>
      </c>
      <c r="E772" s="2" t="s">
        <v>23</v>
      </c>
      <c r="F772" s="2" t="s">
        <v>38</v>
      </c>
      <c r="G772" s="2" t="s">
        <v>25</v>
      </c>
      <c r="H772" s="2" t="n">
        <v>5</v>
      </c>
      <c r="I772" s="2" t="str">
        <f aca="false">IF(C772="","Open","Resolved")</f>
        <v>Resolved</v>
      </c>
      <c r="J772" s="2" t="str">
        <f aca="false">TEXT(B772,"yyyy-mm")</f>
        <v>2026-04</v>
      </c>
      <c r="K772" s="8" t="n">
        <f aca="false">IF(C772="","",ROUND((C772-B772)*24,2))</f>
        <v>12.77</v>
      </c>
      <c r="L772" s="2" t="n">
        <f aca="false">INDEX('SLA Policy'!$B$2:$B$5,MATCH(E772,'SLA Policy'!$A$2:$A$5,0))</f>
        <v>8</v>
      </c>
      <c r="M772" s="2" t="str">
        <f aca="false">IF(K772="","Open",IF(K772&lt;=L772,"Yes","No"))</f>
        <v>No</v>
      </c>
    </row>
    <row r="773" customFormat="false" ht="15" hidden="false" customHeight="false" outlineLevel="0" collapsed="false">
      <c r="A773" s="2" t="s">
        <v>807</v>
      </c>
      <c r="B773" s="7" t="n">
        <v>46134.4319444444</v>
      </c>
      <c r="C773" s="7" t="n">
        <v>46134.8736111111</v>
      </c>
      <c r="D773" s="2" t="s">
        <v>22</v>
      </c>
      <c r="E773" s="2" t="s">
        <v>35</v>
      </c>
      <c r="F773" s="2" t="s">
        <v>24</v>
      </c>
      <c r="G773" s="2" t="s">
        <v>25</v>
      </c>
      <c r="H773" s="2" t="n">
        <v>4</v>
      </c>
      <c r="I773" s="2" t="str">
        <f aca="false">IF(C773="","Open","Resolved")</f>
        <v>Resolved</v>
      </c>
      <c r="J773" s="2" t="str">
        <f aca="false">TEXT(B773,"yyyy-mm")</f>
        <v>2026-04</v>
      </c>
      <c r="K773" s="8" t="n">
        <f aca="false">IF(C773="","",ROUND((C773-B773)*24,2))</f>
        <v>10.6</v>
      </c>
      <c r="L773" s="2" t="n">
        <f aca="false">INDEX('SLA Policy'!$B$2:$B$5,MATCH(E773,'SLA Policy'!$A$2:$A$5,0))</f>
        <v>24</v>
      </c>
      <c r="M773" s="2" t="str">
        <f aca="false">IF(K773="","Open",IF(K773&lt;=L773,"Yes","No"))</f>
        <v>Yes</v>
      </c>
    </row>
    <row r="774" customFormat="false" ht="15" hidden="false" customHeight="false" outlineLevel="0" collapsed="false">
      <c r="A774" s="2" t="s">
        <v>808</v>
      </c>
      <c r="B774" s="7" t="n">
        <v>46134.4520833333</v>
      </c>
      <c r="C774" s="7" t="n">
        <v>46135.2048611111</v>
      </c>
      <c r="D774" s="2" t="s">
        <v>31</v>
      </c>
      <c r="E774" s="2" t="s">
        <v>35</v>
      </c>
      <c r="F774" s="2" t="s">
        <v>27</v>
      </c>
      <c r="G774" s="2" t="s">
        <v>33</v>
      </c>
      <c r="H774" s="2" t="n">
        <v>5</v>
      </c>
      <c r="I774" s="2" t="str">
        <f aca="false">IF(C774="","Open","Resolved")</f>
        <v>Resolved</v>
      </c>
      <c r="J774" s="2" t="str">
        <f aca="false">TEXT(B774,"yyyy-mm")</f>
        <v>2026-04</v>
      </c>
      <c r="K774" s="8" t="n">
        <f aca="false">IF(C774="","",ROUND((C774-B774)*24,2))</f>
        <v>18.07</v>
      </c>
      <c r="L774" s="2" t="n">
        <f aca="false">INDEX('SLA Policy'!$B$2:$B$5,MATCH(E774,'SLA Policy'!$A$2:$A$5,0))</f>
        <v>24</v>
      </c>
      <c r="M774" s="2" t="str">
        <f aca="false">IF(K774="","Open",IF(K774&lt;=L774,"Yes","No"))</f>
        <v>Yes</v>
      </c>
    </row>
    <row r="775" customFormat="false" ht="15" hidden="false" customHeight="false" outlineLevel="0" collapsed="false">
      <c r="A775" s="2" t="s">
        <v>809</v>
      </c>
      <c r="B775" s="7" t="n">
        <v>46134.4534722222</v>
      </c>
      <c r="C775" s="7" t="n">
        <v>46134.5472222222</v>
      </c>
      <c r="D775" s="2" t="s">
        <v>42</v>
      </c>
      <c r="E775" s="2" t="s">
        <v>23</v>
      </c>
      <c r="F775" s="2" t="s">
        <v>24</v>
      </c>
      <c r="G775" s="2" t="s">
        <v>29</v>
      </c>
      <c r="H775" s="2" t="n">
        <v>5</v>
      </c>
      <c r="I775" s="2" t="str">
        <f aca="false">IF(C775="","Open","Resolved")</f>
        <v>Resolved</v>
      </c>
      <c r="J775" s="2" t="str">
        <f aca="false">TEXT(B775,"yyyy-mm")</f>
        <v>2026-04</v>
      </c>
      <c r="K775" s="8" t="n">
        <f aca="false">IF(C775="","",ROUND((C775-B775)*24,2))</f>
        <v>2.25</v>
      </c>
      <c r="L775" s="2" t="n">
        <f aca="false">INDEX('SLA Policy'!$B$2:$B$5,MATCH(E775,'SLA Policy'!$A$2:$A$5,0))</f>
        <v>8</v>
      </c>
      <c r="M775" s="2" t="str">
        <f aca="false">IF(K775="","Open",IF(K775&lt;=L775,"Yes","No"))</f>
        <v>Yes</v>
      </c>
    </row>
    <row r="776" customFormat="false" ht="15" hidden="false" customHeight="false" outlineLevel="0" collapsed="false">
      <c r="A776" s="2" t="s">
        <v>810</v>
      </c>
      <c r="B776" s="7" t="n">
        <v>46134.4729166667</v>
      </c>
      <c r="C776" s="7" t="n">
        <v>46137.5006944445</v>
      </c>
      <c r="D776" s="2" t="s">
        <v>48</v>
      </c>
      <c r="E776" s="2" t="s">
        <v>32</v>
      </c>
      <c r="F776" s="2" t="s">
        <v>24</v>
      </c>
      <c r="G776" s="2" t="s">
        <v>25</v>
      </c>
      <c r="H776" s="2" t="n">
        <v>3</v>
      </c>
      <c r="I776" s="2" t="str">
        <f aca="false">IF(C776="","Open","Resolved")</f>
        <v>Resolved</v>
      </c>
      <c r="J776" s="2" t="str">
        <f aca="false">TEXT(B776,"yyyy-mm")</f>
        <v>2026-04</v>
      </c>
      <c r="K776" s="8" t="n">
        <f aca="false">IF(C776="","",ROUND((C776-B776)*24,2))</f>
        <v>72.67</v>
      </c>
      <c r="L776" s="2" t="n">
        <f aca="false">INDEX('SLA Policy'!$B$2:$B$5,MATCH(E776,'SLA Policy'!$A$2:$A$5,0))</f>
        <v>72</v>
      </c>
      <c r="M776" s="2" t="str">
        <f aca="false">IF(K776="","Open",IF(K776&lt;=L776,"Yes","No"))</f>
        <v>No</v>
      </c>
    </row>
    <row r="777" customFormat="false" ht="15" hidden="false" customHeight="false" outlineLevel="0" collapsed="false">
      <c r="A777" s="2" t="s">
        <v>811</v>
      </c>
      <c r="B777" s="7" t="n">
        <v>46134.5708333333</v>
      </c>
      <c r="C777" s="7" t="n">
        <v>46136.83125</v>
      </c>
      <c r="D777" s="2" t="s">
        <v>27</v>
      </c>
      <c r="E777" s="2" t="s">
        <v>32</v>
      </c>
      <c r="F777" s="2" t="s">
        <v>27</v>
      </c>
      <c r="G777" s="2" t="s">
        <v>29</v>
      </c>
      <c r="H777" s="2" t="n">
        <v>3</v>
      </c>
      <c r="I777" s="2" t="str">
        <f aca="false">IF(C777="","Open","Resolved")</f>
        <v>Resolved</v>
      </c>
      <c r="J777" s="2" t="str">
        <f aca="false">TEXT(B777,"yyyy-mm")</f>
        <v>2026-04</v>
      </c>
      <c r="K777" s="8" t="n">
        <f aca="false">IF(C777="","",ROUND((C777-B777)*24,2))</f>
        <v>54.25</v>
      </c>
      <c r="L777" s="2" t="n">
        <f aca="false">INDEX('SLA Policy'!$B$2:$B$5,MATCH(E777,'SLA Policy'!$A$2:$A$5,0))</f>
        <v>72</v>
      </c>
      <c r="M777" s="2" t="str">
        <f aca="false">IF(K777="","Open",IF(K777&lt;=L777,"Yes","No"))</f>
        <v>Yes</v>
      </c>
    </row>
    <row r="778" customFormat="false" ht="15" hidden="false" customHeight="false" outlineLevel="0" collapsed="false">
      <c r="A778" s="2" t="s">
        <v>812</v>
      </c>
      <c r="B778" s="7" t="n">
        <v>46134.6069444444</v>
      </c>
      <c r="C778" s="7" t="n">
        <v>46134.6986111111</v>
      </c>
      <c r="D778" s="2" t="s">
        <v>42</v>
      </c>
      <c r="E778" s="2" t="s">
        <v>40</v>
      </c>
      <c r="F778" s="2" t="s">
        <v>27</v>
      </c>
      <c r="G778" s="2" t="s">
        <v>29</v>
      </c>
      <c r="H778" s="2" t="n">
        <v>5</v>
      </c>
      <c r="I778" s="2" t="str">
        <f aca="false">IF(C778="","Open","Resolved")</f>
        <v>Resolved</v>
      </c>
      <c r="J778" s="2" t="str">
        <f aca="false">TEXT(B778,"yyyy-mm")</f>
        <v>2026-04</v>
      </c>
      <c r="K778" s="8" t="n">
        <f aca="false">IF(C778="","",ROUND((C778-B778)*24,2))</f>
        <v>2.2</v>
      </c>
      <c r="L778" s="2" t="n">
        <f aca="false">INDEX('SLA Policy'!$B$2:$B$5,MATCH(E778,'SLA Policy'!$A$2:$A$5,0))</f>
        <v>4</v>
      </c>
      <c r="M778" s="2" t="str">
        <f aca="false">IF(K778="","Open",IF(K778&lt;=L778,"Yes","No"))</f>
        <v>Yes</v>
      </c>
    </row>
    <row r="779" customFormat="false" ht="15" hidden="false" customHeight="false" outlineLevel="0" collapsed="false">
      <c r="A779" s="2" t="s">
        <v>813</v>
      </c>
      <c r="B779" s="7" t="n">
        <v>46134.6541666667</v>
      </c>
      <c r="C779" s="7" t="n">
        <v>46135.7277777778</v>
      </c>
      <c r="D779" s="2" t="s">
        <v>31</v>
      </c>
      <c r="E779" s="2" t="s">
        <v>32</v>
      </c>
      <c r="F779" s="2" t="s">
        <v>38</v>
      </c>
      <c r="G779" s="2" t="s">
        <v>33</v>
      </c>
      <c r="H779" s="2" t="n">
        <v>5</v>
      </c>
      <c r="I779" s="2" t="str">
        <f aca="false">IF(C779="","Open","Resolved")</f>
        <v>Resolved</v>
      </c>
      <c r="J779" s="2" t="str">
        <f aca="false">TEXT(B779,"yyyy-mm")</f>
        <v>2026-04</v>
      </c>
      <c r="K779" s="8" t="n">
        <f aca="false">IF(C779="","",ROUND((C779-B779)*24,2))</f>
        <v>25.77</v>
      </c>
      <c r="L779" s="2" t="n">
        <f aca="false">INDEX('SLA Policy'!$B$2:$B$5,MATCH(E779,'SLA Policy'!$A$2:$A$5,0))</f>
        <v>72</v>
      </c>
      <c r="M779" s="2" t="str">
        <f aca="false">IF(K779="","Open",IF(K779&lt;=L779,"Yes","No"))</f>
        <v>Yes</v>
      </c>
    </row>
    <row r="780" customFormat="false" ht="15" hidden="false" customHeight="false" outlineLevel="0" collapsed="false">
      <c r="A780" s="2" t="s">
        <v>814</v>
      </c>
      <c r="B780" s="7" t="n">
        <v>46134.7326388889</v>
      </c>
      <c r="C780" s="7" t="n">
        <v>46135.875</v>
      </c>
      <c r="D780" s="2" t="s">
        <v>31</v>
      </c>
      <c r="E780" s="2" t="s">
        <v>35</v>
      </c>
      <c r="F780" s="2" t="s">
        <v>24</v>
      </c>
      <c r="G780" s="2" t="s">
        <v>33</v>
      </c>
      <c r="H780" s="2" t="n">
        <v>3</v>
      </c>
      <c r="I780" s="2" t="str">
        <f aca="false">IF(C780="","Open","Resolved")</f>
        <v>Resolved</v>
      </c>
      <c r="J780" s="2" t="str">
        <f aca="false">TEXT(B780,"yyyy-mm")</f>
        <v>2026-04</v>
      </c>
      <c r="K780" s="8" t="n">
        <f aca="false">IF(C780="","",ROUND((C780-B780)*24,2))</f>
        <v>27.42</v>
      </c>
      <c r="L780" s="2" t="n">
        <f aca="false">INDEX('SLA Policy'!$B$2:$B$5,MATCH(E780,'SLA Policy'!$A$2:$A$5,0))</f>
        <v>24</v>
      </c>
      <c r="M780" s="2" t="str">
        <f aca="false">IF(K780="","Open",IF(K780&lt;=L780,"Yes","No"))</f>
        <v>No</v>
      </c>
    </row>
    <row r="781" customFormat="false" ht="15" hidden="false" customHeight="false" outlineLevel="0" collapsed="false">
      <c r="A781" s="2" t="s">
        <v>815</v>
      </c>
      <c r="B781" s="7" t="n">
        <v>46134.7388888889</v>
      </c>
      <c r="C781" s="7" t="n">
        <v>46135.0388888889</v>
      </c>
      <c r="D781" s="2" t="s">
        <v>27</v>
      </c>
      <c r="E781" s="2" t="s">
        <v>23</v>
      </c>
      <c r="F781" s="2" t="s">
        <v>24</v>
      </c>
      <c r="G781" s="2" t="s">
        <v>29</v>
      </c>
      <c r="H781" s="2" t="n">
        <v>4</v>
      </c>
      <c r="I781" s="2" t="str">
        <f aca="false">IF(C781="","Open","Resolved")</f>
        <v>Resolved</v>
      </c>
      <c r="J781" s="2" t="str">
        <f aca="false">TEXT(B781,"yyyy-mm")</f>
        <v>2026-04</v>
      </c>
      <c r="K781" s="8" t="n">
        <f aca="false">IF(C781="","",ROUND((C781-B781)*24,2))</f>
        <v>7.2</v>
      </c>
      <c r="L781" s="2" t="n">
        <f aca="false">INDEX('SLA Policy'!$B$2:$B$5,MATCH(E781,'SLA Policy'!$A$2:$A$5,0))</f>
        <v>8</v>
      </c>
      <c r="M781" s="2" t="str">
        <f aca="false">IF(K781="","Open",IF(K781&lt;=L781,"Yes","No"))</f>
        <v>Yes</v>
      </c>
    </row>
    <row r="782" customFormat="false" ht="15" hidden="false" customHeight="false" outlineLevel="0" collapsed="false">
      <c r="A782" s="2" t="s">
        <v>816</v>
      </c>
      <c r="B782" s="7" t="n">
        <v>46135.2951388889</v>
      </c>
      <c r="C782" s="7" t="n">
        <v>46135.75625</v>
      </c>
      <c r="D782" s="2" t="s">
        <v>42</v>
      </c>
      <c r="E782" s="2" t="s">
        <v>35</v>
      </c>
      <c r="F782" s="2" t="s">
        <v>27</v>
      </c>
      <c r="G782" s="2" t="s">
        <v>29</v>
      </c>
      <c r="H782" s="2" t="n">
        <v>3</v>
      </c>
      <c r="I782" s="2" t="str">
        <f aca="false">IF(C782="","Open","Resolved")</f>
        <v>Resolved</v>
      </c>
      <c r="J782" s="2" t="str">
        <f aca="false">TEXT(B782,"yyyy-mm")</f>
        <v>2026-04</v>
      </c>
      <c r="K782" s="8" t="n">
        <f aca="false">IF(C782="","",ROUND((C782-B782)*24,2))</f>
        <v>11.07</v>
      </c>
      <c r="L782" s="2" t="n">
        <f aca="false">INDEX('SLA Policy'!$B$2:$B$5,MATCH(E782,'SLA Policy'!$A$2:$A$5,0))</f>
        <v>24</v>
      </c>
      <c r="M782" s="2" t="str">
        <f aca="false">IF(K782="","Open",IF(K782&lt;=L782,"Yes","No"))</f>
        <v>Yes</v>
      </c>
    </row>
    <row r="783" customFormat="false" ht="15" hidden="false" customHeight="false" outlineLevel="0" collapsed="false">
      <c r="A783" s="2" t="s">
        <v>817</v>
      </c>
      <c r="B783" s="7" t="n">
        <v>46135.3826388889</v>
      </c>
      <c r="C783" s="7" t="n">
        <v>46136.8291666667</v>
      </c>
      <c r="D783" s="2" t="s">
        <v>22</v>
      </c>
      <c r="E783" s="2" t="s">
        <v>35</v>
      </c>
      <c r="F783" s="2" t="s">
        <v>28</v>
      </c>
      <c r="G783" s="2" t="s">
        <v>25</v>
      </c>
      <c r="H783" s="2" t="n">
        <v>4</v>
      </c>
      <c r="I783" s="2" t="str">
        <f aca="false">IF(C783="","Open","Resolved")</f>
        <v>Resolved</v>
      </c>
      <c r="J783" s="2" t="str">
        <f aca="false">TEXT(B783,"yyyy-mm")</f>
        <v>2026-04</v>
      </c>
      <c r="K783" s="8" t="n">
        <f aca="false">IF(C783="","",ROUND((C783-B783)*24,2))</f>
        <v>34.72</v>
      </c>
      <c r="L783" s="2" t="n">
        <f aca="false">INDEX('SLA Policy'!$B$2:$B$5,MATCH(E783,'SLA Policy'!$A$2:$A$5,0))</f>
        <v>24</v>
      </c>
      <c r="M783" s="2" t="str">
        <f aca="false">IF(K783="","Open",IF(K783&lt;=L783,"Yes","No"))</f>
        <v>No</v>
      </c>
    </row>
    <row r="784" customFormat="false" ht="15" hidden="false" customHeight="false" outlineLevel="0" collapsed="false">
      <c r="A784" s="2" t="s">
        <v>818</v>
      </c>
      <c r="B784" s="7" t="n">
        <v>46135.5395833333</v>
      </c>
      <c r="C784" s="7" t="n">
        <v>46136.4520833333</v>
      </c>
      <c r="D784" s="2" t="s">
        <v>22</v>
      </c>
      <c r="E784" s="2" t="s">
        <v>35</v>
      </c>
      <c r="F784" s="2" t="s">
        <v>27</v>
      </c>
      <c r="G784" s="2" t="s">
        <v>25</v>
      </c>
      <c r="H784" s="2" t="n">
        <v>5</v>
      </c>
      <c r="I784" s="2" t="str">
        <f aca="false">IF(C784="","Open","Resolved")</f>
        <v>Resolved</v>
      </c>
      <c r="J784" s="2" t="str">
        <f aca="false">TEXT(B784,"yyyy-mm")</f>
        <v>2026-04</v>
      </c>
      <c r="K784" s="8" t="n">
        <f aca="false">IF(C784="","",ROUND((C784-B784)*24,2))</f>
        <v>21.9</v>
      </c>
      <c r="L784" s="2" t="n">
        <f aca="false">INDEX('SLA Policy'!$B$2:$B$5,MATCH(E784,'SLA Policy'!$A$2:$A$5,0))</f>
        <v>24</v>
      </c>
      <c r="M784" s="2" t="str">
        <f aca="false">IF(K784="","Open",IF(K784&lt;=L784,"Yes","No"))</f>
        <v>Yes</v>
      </c>
    </row>
    <row r="785" customFormat="false" ht="15" hidden="false" customHeight="false" outlineLevel="0" collapsed="false">
      <c r="A785" s="2" t="s">
        <v>819</v>
      </c>
      <c r="B785" s="7" t="n">
        <v>46135.5465277778</v>
      </c>
      <c r="C785" s="7" t="n">
        <v>46136.2152777778</v>
      </c>
      <c r="D785" s="2" t="s">
        <v>27</v>
      </c>
      <c r="E785" s="2" t="s">
        <v>32</v>
      </c>
      <c r="F785" s="2" t="s">
        <v>28</v>
      </c>
      <c r="G785" s="2" t="s">
        <v>29</v>
      </c>
      <c r="H785" s="2" t="n">
        <v>4</v>
      </c>
      <c r="I785" s="2" t="str">
        <f aca="false">IF(C785="","Open","Resolved")</f>
        <v>Resolved</v>
      </c>
      <c r="J785" s="2" t="str">
        <f aca="false">TEXT(B785,"yyyy-mm")</f>
        <v>2026-04</v>
      </c>
      <c r="K785" s="8" t="n">
        <f aca="false">IF(C785="","",ROUND((C785-B785)*24,2))</f>
        <v>16.05</v>
      </c>
      <c r="L785" s="2" t="n">
        <f aca="false">INDEX('SLA Policy'!$B$2:$B$5,MATCH(E785,'SLA Policy'!$A$2:$A$5,0))</f>
        <v>72</v>
      </c>
      <c r="M785" s="2" t="str">
        <f aca="false">IF(K785="","Open",IF(K785&lt;=L785,"Yes","No"))</f>
        <v>Yes</v>
      </c>
    </row>
    <row r="786" customFormat="false" ht="15" hidden="false" customHeight="false" outlineLevel="0" collapsed="false">
      <c r="A786" s="2" t="s">
        <v>820</v>
      </c>
      <c r="B786" s="7" t="n">
        <v>46135.5465277778</v>
      </c>
      <c r="C786" s="7" t="n">
        <v>46135.7201388889</v>
      </c>
      <c r="D786" s="2" t="s">
        <v>31</v>
      </c>
      <c r="E786" s="2" t="s">
        <v>23</v>
      </c>
      <c r="F786" s="2" t="s">
        <v>27</v>
      </c>
      <c r="G786" s="2" t="s">
        <v>33</v>
      </c>
      <c r="H786" s="2" t="n">
        <v>4</v>
      </c>
      <c r="I786" s="2" t="str">
        <f aca="false">IF(C786="","Open","Resolved")</f>
        <v>Resolved</v>
      </c>
      <c r="J786" s="2" t="str">
        <f aca="false">TEXT(B786,"yyyy-mm")</f>
        <v>2026-04</v>
      </c>
      <c r="K786" s="8" t="n">
        <f aca="false">IF(C786="","",ROUND((C786-B786)*24,2))</f>
        <v>4.17</v>
      </c>
      <c r="L786" s="2" t="n">
        <f aca="false">INDEX('SLA Policy'!$B$2:$B$5,MATCH(E786,'SLA Policy'!$A$2:$A$5,0))</f>
        <v>8</v>
      </c>
      <c r="M786" s="2" t="str">
        <f aca="false">IF(K786="","Open",IF(K786&lt;=L786,"Yes","No"))</f>
        <v>Yes</v>
      </c>
    </row>
    <row r="787" customFormat="false" ht="15" hidden="false" customHeight="false" outlineLevel="0" collapsed="false">
      <c r="A787" s="2" t="s">
        <v>821</v>
      </c>
      <c r="B787" s="7" t="n">
        <v>46135.5993055556</v>
      </c>
      <c r="C787" s="7" t="n">
        <v>46136.3548611111</v>
      </c>
      <c r="D787" s="2" t="s">
        <v>22</v>
      </c>
      <c r="E787" s="2" t="s">
        <v>35</v>
      </c>
      <c r="F787" s="2" t="s">
        <v>27</v>
      </c>
      <c r="G787" s="2" t="s">
        <v>25</v>
      </c>
      <c r="H787" s="2" t="n">
        <v>5</v>
      </c>
      <c r="I787" s="2" t="str">
        <f aca="false">IF(C787="","Open","Resolved")</f>
        <v>Resolved</v>
      </c>
      <c r="J787" s="2" t="str">
        <f aca="false">TEXT(B787,"yyyy-mm")</f>
        <v>2026-04</v>
      </c>
      <c r="K787" s="8" t="n">
        <f aca="false">IF(C787="","",ROUND((C787-B787)*24,2))</f>
        <v>18.13</v>
      </c>
      <c r="L787" s="2" t="n">
        <f aca="false">INDEX('SLA Policy'!$B$2:$B$5,MATCH(E787,'SLA Policy'!$A$2:$A$5,0))</f>
        <v>24</v>
      </c>
      <c r="M787" s="2" t="str">
        <f aca="false">IF(K787="","Open",IF(K787&lt;=L787,"Yes","No"))</f>
        <v>Yes</v>
      </c>
    </row>
    <row r="788" customFormat="false" ht="15" hidden="false" customHeight="false" outlineLevel="0" collapsed="false">
      <c r="A788" s="2" t="s">
        <v>822</v>
      </c>
      <c r="B788" s="7" t="n">
        <v>46135.7305555556</v>
      </c>
      <c r="C788" s="7" t="n">
        <v>46136.0194444444</v>
      </c>
      <c r="D788" s="2" t="s">
        <v>31</v>
      </c>
      <c r="E788" s="2" t="s">
        <v>23</v>
      </c>
      <c r="F788" s="2" t="s">
        <v>27</v>
      </c>
      <c r="G788" s="2" t="s">
        <v>33</v>
      </c>
      <c r="H788" s="2" t="n">
        <v>5</v>
      </c>
      <c r="I788" s="2" t="str">
        <f aca="false">IF(C788="","Open","Resolved")</f>
        <v>Resolved</v>
      </c>
      <c r="J788" s="2" t="str">
        <f aca="false">TEXT(B788,"yyyy-mm")</f>
        <v>2026-04</v>
      </c>
      <c r="K788" s="8" t="n">
        <f aca="false">IF(C788="","",ROUND((C788-B788)*24,2))</f>
        <v>6.93</v>
      </c>
      <c r="L788" s="2" t="n">
        <f aca="false">INDEX('SLA Policy'!$B$2:$B$5,MATCH(E788,'SLA Policy'!$A$2:$A$5,0))</f>
        <v>8</v>
      </c>
      <c r="M788" s="2" t="str">
        <f aca="false">IF(K788="","Open",IF(K788&lt;=L788,"Yes","No"))</f>
        <v>Yes</v>
      </c>
    </row>
    <row r="789" customFormat="false" ht="15" hidden="false" customHeight="false" outlineLevel="0" collapsed="false">
      <c r="A789" s="2" t="s">
        <v>823</v>
      </c>
      <c r="B789" s="7" t="n">
        <v>46136.2923611111</v>
      </c>
      <c r="C789" s="7" t="n">
        <v>46137.2805555556</v>
      </c>
      <c r="D789" s="2" t="s">
        <v>31</v>
      </c>
      <c r="E789" s="2" t="s">
        <v>35</v>
      </c>
      <c r="F789" s="2" t="s">
        <v>27</v>
      </c>
      <c r="G789" s="2" t="s">
        <v>33</v>
      </c>
      <c r="H789" s="2" t="n">
        <v>4</v>
      </c>
      <c r="I789" s="2" t="str">
        <f aca="false">IF(C789="","Open","Resolved")</f>
        <v>Resolved</v>
      </c>
      <c r="J789" s="2" t="str">
        <f aca="false">TEXT(B789,"yyyy-mm")</f>
        <v>2026-04</v>
      </c>
      <c r="K789" s="8" t="n">
        <f aca="false">IF(C789="","",ROUND((C789-B789)*24,2))</f>
        <v>23.72</v>
      </c>
      <c r="L789" s="2" t="n">
        <f aca="false">INDEX('SLA Policy'!$B$2:$B$5,MATCH(E789,'SLA Policy'!$A$2:$A$5,0))</f>
        <v>24</v>
      </c>
      <c r="M789" s="2" t="str">
        <f aca="false">IF(K789="","Open",IF(K789&lt;=L789,"Yes","No"))</f>
        <v>Yes</v>
      </c>
    </row>
    <row r="790" customFormat="false" ht="15" hidden="false" customHeight="false" outlineLevel="0" collapsed="false">
      <c r="A790" s="2" t="s">
        <v>824</v>
      </c>
      <c r="B790" s="7" t="n">
        <v>46136.3555555556</v>
      </c>
      <c r="C790" s="7" t="n">
        <v>46138.725</v>
      </c>
      <c r="D790" s="2" t="s">
        <v>31</v>
      </c>
      <c r="E790" s="2" t="s">
        <v>32</v>
      </c>
      <c r="F790" s="2" t="s">
        <v>24</v>
      </c>
      <c r="G790" s="2" t="s">
        <v>33</v>
      </c>
      <c r="H790" s="2" t="n">
        <v>4</v>
      </c>
      <c r="I790" s="2" t="str">
        <f aca="false">IF(C790="","Open","Resolved")</f>
        <v>Resolved</v>
      </c>
      <c r="J790" s="2" t="str">
        <f aca="false">TEXT(B790,"yyyy-mm")</f>
        <v>2026-04</v>
      </c>
      <c r="K790" s="8" t="n">
        <f aca="false">IF(C790="","",ROUND((C790-B790)*24,2))</f>
        <v>56.87</v>
      </c>
      <c r="L790" s="2" t="n">
        <f aca="false">INDEX('SLA Policy'!$B$2:$B$5,MATCH(E790,'SLA Policy'!$A$2:$A$5,0))</f>
        <v>72</v>
      </c>
      <c r="M790" s="2" t="str">
        <f aca="false">IF(K790="","Open",IF(K790&lt;=L790,"Yes","No"))</f>
        <v>Yes</v>
      </c>
    </row>
    <row r="791" customFormat="false" ht="15" hidden="false" customHeight="false" outlineLevel="0" collapsed="false">
      <c r="A791" s="2" t="s">
        <v>825</v>
      </c>
      <c r="B791" s="7" t="n">
        <v>46136.3777777778</v>
      </c>
      <c r="C791" s="7" t="n">
        <v>46137.4201388889</v>
      </c>
      <c r="D791" s="2" t="s">
        <v>31</v>
      </c>
      <c r="E791" s="2" t="s">
        <v>35</v>
      </c>
      <c r="F791" s="2" t="s">
        <v>27</v>
      </c>
      <c r="G791" s="2" t="s">
        <v>33</v>
      </c>
      <c r="H791" s="2" t="n">
        <v>5</v>
      </c>
      <c r="I791" s="2" t="str">
        <f aca="false">IF(C791="","Open","Resolved")</f>
        <v>Resolved</v>
      </c>
      <c r="J791" s="2" t="str">
        <f aca="false">TEXT(B791,"yyyy-mm")</f>
        <v>2026-04</v>
      </c>
      <c r="K791" s="8" t="n">
        <f aca="false">IF(C791="","",ROUND((C791-B791)*24,2))</f>
        <v>25.02</v>
      </c>
      <c r="L791" s="2" t="n">
        <f aca="false">INDEX('SLA Policy'!$B$2:$B$5,MATCH(E791,'SLA Policy'!$A$2:$A$5,0))</f>
        <v>24</v>
      </c>
      <c r="M791" s="2" t="str">
        <f aca="false">IF(K791="","Open",IF(K791&lt;=L791,"Yes","No"))</f>
        <v>No</v>
      </c>
    </row>
    <row r="792" customFormat="false" ht="15" hidden="false" customHeight="false" outlineLevel="0" collapsed="false">
      <c r="A792" s="2" t="s">
        <v>826</v>
      </c>
      <c r="B792" s="7" t="n">
        <v>46136.4069444445</v>
      </c>
      <c r="C792" s="7" t="n">
        <v>46138.0375</v>
      </c>
      <c r="D792" s="2" t="s">
        <v>31</v>
      </c>
      <c r="E792" s="2" t="s">
        <v>35</v>
      </c>
      <c r="F792" s="2" t="s">
        <v>38</v>
      </c>
      <c r="G792" s="2" t="s">
        <v>33</v>
      </c>
      <c r="H792" s="2" t="n">
        <v>4</v>
      </c>
      <c r="I792" s="2" t="str">
        <f aca="false">IF(C792="","Open","Resolved")</f>
        <v>Resolved</v>
      </c>
      <c r="J792" s="2" t="str">
        <f aca="false">TEXT(B792,"yyyy-mm")</f>
        <v>2026-04</v>
      </c>
      <c r="K792" s="8" t="n">
        <f aca="false">IF(C792="","",ROUND((C792-B792)*24,2))</f>
        <v>39.13</v>
      </c>
      <c r="L792" s="2" t="n">
        <f aca="false">INDEX('SLA Policy'!$B$2:$B$5,MATCH(E792,'SLA Policy'!$A$2:$A$5,0))</f>
        <v>24</v>
      </c>
      <c r="M792" s="2" t="str">
        <f aca="false">IF(K792="","Open",IF(K792&lt;=L792,"Yes","No"))</f>
        <v>No</v>
      </c>
    </row>
    <row r="793" customFormat="false" ht="15" hidden="false" customHeight="false" outlineLevel="0" collapsed="false">
      <c r="A793" s="2" t="s">
        <v>827</v>
      </c>
      <c r="B793" s="7" t="n">
        <v>46136.5208333333</v>
      </c>
      <c r="C793" s="7" t="n">
        <v>46136.7423611111</v>
      </c>
      <c r="D793" s="2" t="s">
        <v>42</v>
      </c>
      <c r="E793" s="2" t="s">
        <v>23</v>
      </c>
      <c r="F793" s="2" t="s">
        <v>27</v>
      </c>
      <c r="G793" s="2" t="s">
        <v>29</v>
      </c>
      <c r="H793" s="2" t="n">
        <v>5</v>
      </c>
      <c r="I793" s="2" t="str">
        <f aca="false">IF(C793="","Open","Resolved")</f>
        <v>Resolved</v>
      </c>
      <c r="J793" s="2" t="str">
        <f aca="false">TEXT(B793,"yyyy-mm")</f>
        <v>2026-04</v>
      </c>
      <c r="K793" s="8" t="n">
        <f aca="false">IF(C793="","",ROUND((C793-B793)*24,2))</f>
        <v>5.32</v>
      </c>
      <c r="L793" s="2" t="n">
        <f aca="false">INDEX('SLA Policy'!$B$2:$B$5,MATCH(E793,'SLA Policy'!$A$2:$A$5,0))</f>
        <v>8</v>
      </c>
      <c r="M793" s="2" t="str">
        <f aca="false">IF(K793="","Open",IF(K793&lt;=L793,"Yes","No"))</f>
        <v>Yes</v>
      </c>
    </row>
    <row r="794" customFormat="false" ht="15" hidden="false" customHeight="false" outlineLevel="0" collapsed="false">
      <c r="A794" s="2" t="s">
        <v>828</v>
      </c>
      <c r="B794" s="7" t="n">
        <v>46136.55625</v>
      </c>
      <c r="C794" s="7" t="n">
        <v>46138.5131944444</v>
      </c>
      <c r="D794" s="2" t="s">
        <v>22</v>
      </c>
      <c r="E794" s="2" t="s">
        <v>35</v>
      </c>
      <c r="F794" s="2" t="s">
        <v>27</v>
      </c>
      <c r="G794" s="2" t="s">
        <v>25</v>
      </c>
      <c r="H794" s="2" t="n">
        <v>4</v>
      </c>
      <c r="I794" s="2" t="str">
        <f aca="false">IF(C794="","Open","Resolved")</f>
        <v>Resolved</v>
      </c>
      <c r="J794" s="2" t="str">
        <f aca="false">TEXT(B794,"yyyy-mm")</f>
        <v>2026-04</v>
      </c>
      <c r="K794" s="8" t="n">
        <f aca="false">IF(C794="","",ROUND((C794-B794)*24,2))</f>
        <v>46.97</v>
      </c>
      <c r="L794" s="2" t="n">
        <f aca="false">INDEX('SLA Policy'!$B$2:$B$5,MATCH(E794,'SLA Policy'!$A$2:$A$5,0))</f>
        <v>24</v>
      </c>
      <c r="M794" s="2" t="str">
        <f aca="false">IF(K794="","Open",IF(K794&lt;=L794,"Yes","No"))</f>
        <v>No</v>
      </c>
    </row>
    <row r="795" customFormat="false" ht="15" hidden="false" customHeight="false" outlineLevel="0" collapsed="false">
      <c r="A795" s="2" t="s">
        <v>829</v>
      </c>
      <c r="B795" s="7" t="n">
        <v>46136.5645833333</v>
      </c>
      <c r="C795" s="7" t="n">
        <v>46137.1277777778</v>
      </c>
      <c r="D795" s="2" t="s">
        <v>31</v>
      </c>
      <c r="E795" s="2" t="s">
        <v>35</v>
      </c>
      <c r="F795" s="2" t="s">
        <v>24</v>
      </c>
      <c r="G795" s="2" t="s">
        <v>33</v>
      </c>
      <c r="H795" s="2" t="n">
        <v>4</v>
      </c>
      <c r="I795" s="2" t="str">
        <f aca="false">IF(C795="","Open","Resolved")</f>
        <v>Resolved</v>
      </c>
      <c r="J795" s="2" t="str">
        <f aca="false">TEXT(B795,"yyyy-mm")</f>
        <v>2026-04</v>
      </c>
      <c r="K795" s="8" t="n">
        <f aca="false">IF(C795="","",ROUND((C795-B795)*24,2))</f>
        <v>13.52</v>
      </c>
      <c r="L795" s="2" t="n">
        <f aca="false">INDEX('SLA Policy'!$B$2:$B$5,MATCH(E795,'SLA Policy'!$A$2:$A$5,0))</f>
        <v>24</v>
      </c>
      <c r="M795" s="2" t="str">
        <f aca="false">IF(K795="","Open",IF(K795&lt;=L795,"Yes","No"))</f>
        <v>Yes</v>
      </c>
    </row>
    <row r="796" customFormat="false" ht="15" hidden="false" customHeight="false" outlineLevel="0" collapsed="false">
      <c r="A796" s="2" t="s">
        <v>830</v>
      </c>
      <c r="B796" s="7" t="n">
        <v>46136.6125</v>
      </c>
      <c r="C796" s="7" t="n">
        <v>46137.6173611111</v>
      </c>
      <c r="D796" s="2" t="s">
        <v>48</v>
      </c>
      <c r="E796" s="2" t="s">
        <v>23</v>
      </c>
      <c r="F796" s="2" t="s">
        <v>27</v>
      </c>
      <c r="G796" s="2" t="s">
        <v>25</v>
      </c>
      <c r="H796" s="2" t="n">
        <v>3</v>
      </c>
      <c r="I796" s="2" t="str">
        <f aca="false">IF(C796="","Open","Resolved")</f>
        <v>Resolved</v>
      </c>
      <c r="J796" s="2" t="str">
        <f aca="false">TEXT(B796,"yyyy-mm")</f>
        <v>2026-04</v>
      </c>
      <c r="K796" s="8" t="n">
        <f aca="false">IF(C796="","",ROUND((C796-B796)*24,2))</f>
        <v>24.12</v>
      </c>
      <c r="L796" s="2" t="n">
        <f aca="false">INDEX('SLA Policy'!$B$2:$B$5,MATCH(E796,'SLA Policy'!$A$2:$A$5,0))</f>
        <v>8</v>
      </c>
      <c r="M796" s="2" t="str">
        <f aca="false">IF(K796="","Open",IF(K796&lt;=L796,"Yes","No"))</f>
        <v>No</v>
      </c>
    </row>
    <row r="797" customFormat="false" ht="15" hidden="false" customHeight="false" outlineLevel="0" collapsed="false">
      <c r="A797" s="2" t="s">
        <v>831</v>
      </c>
      <c r="B797" s="7" t="n">
        <v>46136.6854166667</v>
      </c>
      <c r="C797" s="7" t="n">
        <v>46137.2520833333</v>
      </c>
      <c r="D797" s="2" t="s">
        <v>42</v>
      </c>
      <c r="E797" s="2" t="s">
        <v>35</v>
      </c>
      <c r="F797" s="2" t="s">
        <v>27</v>
      </c>
      <c r="G797" s="2" t="s">
        <v>29</v>
      </c>
      <c r="H797" s="2" t="n">
        <v>5</v>
      </c>
      <c r="I797" s="2" t="str">
        <f aca="false">IF(C797="","Open","Resolved")</f>
        <v>Resolved</v>
      </c>
      <c r="J797" s="2" t="str">
        <f aca="false">TEXT(B797,"yyyy-mm")</f>
        <v>2026-04</v>
      </c>
      <c r="K797" s="8" t="n">
        <f aca="false">IF(C797="","",ROUND((C797-B797)*24,2))</f>
        <v>13.6</v>
      </c>
      <c r="L797" s="2" t="n">
        <f aca="false">INDEX('SLA Policy'!$B$2:$B$5,MATCH(E797,'SLA Policy'!$A$2:$A$5,0))</f>
        <v>24</v>
      </c>
      <c r="M797" s="2" t="str">
        <f aca="false">IF(K797="","Open",IF(K797&lt;=L797,"Yes","No"))</f>
        <v>Yes</v>
      </c>
    </row>
    <row r="798" customFormat="false" ht="15" hidden="false" customHeight="false" outlineLevel="0" collapsed="false">
      <c r="A798" s="2" t="s">
        <v>832</v>
      </c>
      <c r="B798" s="7" t="n">
        <v>46136.6902777778</v>
      </c>
      <c r="C798" s="7" t="n">
        <v>46139.2034722222</v>
      </c>
      <c r="D798" s="2" t="s">
        <v>48</v>
      </c>
      <c r="E798" s="2" t="s">
        <v>35</v>
      </c>
      <c r="F798" s="2" t="s">
        <v>38</v>
      </c>
      <c r="G798" s="2" t="s">
        <v>25</v>
      </c>
      <c r="H798" s="2" t="n">
        <v>2</v>
      </c>
      <c r="I798" s="2" t="str">
        <f aca="false">IF(C798="","Open","Resolved")</f>
        <v>Resolved</v>
      </c>
      <c r="J798" s="2" t="str">
        <f aca="false">TEXT(B798,"yyyy-mm")</f>
        <v>2026-04</v>
      </c>
      <c r="K798" s="8" t="n">
        <f aca="false">IF(C798="","",ROUND((C798-B798)*24,2))</f>
        <v>60.32</v>
      </c>
      <c r="L798" s="2" t="n">
        <f aca="false">INDEX('SLA Policy'!$B$2:$B$5,MATCH(E798,'SLA Policy'!$A$2:$A$5,0))</f>
        <v>24</v>
      </c>
      <c r="M798" s="2" t="str">
        <f aca="false">IF(K798="","Open",IF(K798&lt;=L798,"Yes","No"))</f>
        <v>No</v>
      </c>
    </row>
    <row r="799" customFormat="false" ht="15" hidden="false" customHeight="false" outlineLevel="0" collapsed="false">
      <c r="A799" s="2" t="s">
        <v>833</v>
      </c>
      <c r="B799" s="7" t="n">
        <v>46137.48125</v>
      </c>
      <c r="C799" s="7" t="n">
        <v>46138.1486111111</v>
      </c>
      <c r="D799" s="2" t="s">
        <v>42</v>
      </c>
      <c r="E799" s="2" t="s">
        <v>35</v>
      </c>
      <c r="F799" s="2" t="s">
        <v>24</v>
      </c>
      <c r="G799" s="2" t="s">
        <v>29</v>
      </c>
      <c r="H799" s="2" t="n">
        <v>4</v>
      </c>
      <c r="I799" s="2" t="str">
        <f aca="false">IF(C799="","Open","Resolved")</f>
        <v>Resolved</v>
      </c>
      <c r="J799" s="2" t="str">
        <f aca="false">TEXT(B799,"yyyy-mm")</f>
        <v>2026-04</v>
      </c>
      <c r="K799" s="8" t="n">
        <f aca="false">IF(C799="","",ROUND((C799-B799)*24,2))</f>
        <v>16.02</v>
      </c>
      <c r="L799" s="2" t="n">
        <f aca="false">INDEX('SLA Policy'!$B$2:$B$5,MATCH(E799,'SLA Policy'!$A$2:$A$5,0))</f>
        <v>24</v>
      </c>
      <c r="M799" s="2" t="str">
        <f aca="false">IF(K799="","Open",IF(K799&lt;=L799,"Yes","No"))</f>
        <v>Yes</v>
      </c>
    </row>
    <row r="800" customFormat="false" ht="15" hidden="false" customHeight="false" outlineLevel="0" collapsed="false">
      <c r="A800" s="2" t="s">
        <v>834</v>
      </c>
      <c r="B800" s="7" t="n">
        <v>46137.5159722222</v>
      </c>
      <c r="C800" s="7" t="n">
        <v>46138.5375</v>
      </c>
      <c r="D800" s="2" t="s">
        <v>42</v>
      </c>
      <c r="E800" s="2" t="s">
        <v>32</v>
      </c>
      <c r="F800" s="2" t="s">
        <v>28</v>
      </c>
      <c r="G800" s="2" t="s">
        <v>29</v>
      </c>
      <c r="H800" s="2" t="n">
        <v>5</v>
      </c>
      <c r="I800" s="2" t="str">
        <f aca="false">IF(C800="","Open","Resolved")</f>
        <v>Resolved</v>
      </c>
      <c r="J800" s="2" t="str">
        <f aca="false">TEXT(B800,"yyyy-mm")</f>
        <v>2026-04</v>
      </c>
      <c r="K800" s="8" t="n">
        <f aca="false">IF(C800="","",ROUND((C800-B800)*24,2))</f>
        <v>24.52</v>
      </c>
      <c r="L800" s="2" t="n">
        <f aca="false">INDEX('SLA Policy'!$B$2:$B$5,MATCH(E800,'SLA Policy'!$A$2:$A$5,0))</f>
        <v>72</v>
      </c>
      <c r="M800" s="2" t="str">
        <f aca="false">IF(K800="","Open",IF(K800&lt;=L800,"Yes","No"))</f>
        <v>Yes</v>
      </c>
    </row>
    <row r="801" customFormat="false" ht="15" hidden="false" customHeight="false" outlineLevel="0" collapsed="false">
      <c r="A801" s="2" t="s">
        <v>835</v>
      </c>
      <c r="B801" s="7" t="n">
        <v>46138.3173611111</v>
      </c>
      <c r="C801" s="7" t="n">
        <v>46138.5430555556</v>
      </c>
      <c r="D801" s="2" t="s">
        <v>42</v>
      </c>
      <c r="E801" s="2" t="s">
        <v>23</v>
      </c>
      <c r="F801" s="2" t="s">
        <v>38</v>
      </c>
      <c r="G801" s="2" t="s">
        <v>29</v>
      </c>
      <c r="H801" s="2" t="n">
        <v>5</v>
      </c>
      <c r="I801" s="2" t="str">
        <f aca="false">IF(C801="","Open","Resolved")</f>
        <v>Resolved</v>
      </c>
      <c r="J801" s="2" t="str">
        <f aca="false">TEXT(B801,"yyyy-mm")</f>
        <v>2026-04</v>
      </c>
      <c r="K801" s="8" t="n">
        <f aca="false">IF(C801="","",ROUND((C801-B801)*24,2))</f>
        <v>5.42</v>
      </c>
      <c r="L801" s="2" t="n">
        <f aca="false">INDEX('SLA Policy'!$B$2:$B$5,MATCH(E801,'SLA Policy'!$A$2:$A$5,0))</f>
        <v>8</v>
      </c>
      <c r="M801" s="2" t="str">
        <f aca="false">IF(K801="","Open",IF(K801&lt;=L801,"Yes","No"))</f>
        <v>Yes</v>
      </c>
    </row>
    <row r="802" customFormat="false" ht="15" hidden="false" customHeight="false" outlineLevel="0" collapsed="false">
      <c r="A802" s="2" t="s">
        <v>836</v>
      </c>
      <c r="B802" s="7" t="n">
        <v>46138.6111111111</v>
      </c>
      <c r="C802" s="7" t="n">
        <v>46140.3090277778</v>
      </c>
      <c r="D802" s="2" t="s">
        <v>48</v>
      </c>
      <c r="E802" s="2" t="s">
        <v>32</v>
      </c>
      <c r="F802" s="2" t="s">
        <v>24</v>
      </c>
      <c r="G802" s="2" t="s">
        <v>25</v>
      </c>
      <c r="H802" s="2" t="n">
        <v>4</v>
      </c>
      <c r="I802" s="2" t="str">
        <f aca="false">IF(C802="","Open","Resolved")</f>
        <v>Resolved</v>
      </c>
      <c r="J802" s="2" t="str">
        <f aca="false">TEXT(B802,"yyyy-mm")</f>
        <v>2026-04</v>
      </c>
      <c r="K802" s="8" t="n">
        <f aca="false">IF(C802="","",ROUND((C802-B802)*24,2))</f>
        <v>40.75</v>
      </c>
      <c r="L802" s="2" t="n">
        <f aca="false">INDEX('SLA Policy'!$B$2:$B$5,MATCH(E802,'SLA Policy'!$A$2:$A$5,0))</f>
        <v>72</v>
      </c>
      <c r="M802" s="2" t="str">
        <f aca="false">IF(K802="","Open",IF(K802&lt;=L802,"Yes","No"))</f>
        <v>Yes</v>
      </c>
    </row>
    <row r="803" customFormat="false" ht="15" hidden="false" customHeight="false" outlineLevel="0" collapsed="false">
      <c r="A803" s="2" t="s">
        <v>837</v>
      </c>
      <c r="B803" s="7" t="n">
        <v>46138.7597222222</v>
      </c>
      <c r="C803" s="7" t="n">
        <v>46139.2243055556</v>
      </c>
      <c r="D803" s="2" t="s">
        <v>42</v>
      </c>
      <c r="E803" s="2" t="s">
        <v>32</v>
      </c>
      <c r="F803" s="2" t="s">
        <v>27</v>
      </c>
      <c r="G803" s="2" t="s">
        <v>29</v>
      </c>
      <c r="H803" s="2" t="n">
        <v>5</v>
      </c>
      <c r="I803" s="2" t="str">
        <f aca="false">IF(C803="","Open","Resolved")</f>
        <v>Resolved</v>
      </c>
      <c r="J803" s="2" t="str">
        <f aca="false">TEXT(B803,"yyyy-mm")</f>
        <v>2026-04</v>
      </c>
      <c r="K803" s="8" t="n">
        <f aca="false">IF(C803="","",ROUND((C803-B803)*24,2))</f>
        <v>11.15</v>
      </c>
      <c r="L803" s="2" t="n">
        <f aca="false">INDEX('SLA Policy'!$B$2:$B$5,MATCH(E803,'SLA Policy'!$A$2:$A$5,0))</f>
        <v>72</v>
      </c>
      <c r="M803" s="2" t="str">
        <f aca="false">IF(K803="","Open",IF(K803&lt;=L803,"Yes","No"))</f>
        <v>Yes</v>
      </c>
    </row>
    <row r="804" customFormat="false" ht="15" hidden="false" customHeight="false" outlineLevel="0" collapsed="false">
      <c r="A804" s="2" t="s">
        <v>838</v>
      </c>
      <c r="B804" s="7" t="n">
        <v>46139.3465277778</v>
      </c>
      <c r="C804" s="7" t="n">
        <v>46139.5715277778</v>
      </c>
      <c r="D804" s="2" t="s">
        <v>42</v>
      </c>
      <c r="E804" s="2" t="s">
        <v>23</v>
      </c>
      <c r="F804" s="2" t="s">
        <v>27</v>
      </c>
      <c r="G804" s="2" t="s">
        <v>29</v>
      </c>
      <c r="H804" s="2" t="n">
        <v>5</v>
      </c>
      <c r="I804" s="2" t="str">
        <f aca="false">IF(C804="","Open","Resolved")</f>
        <v>Resolved</v>
      </c>
      <c r="J804" s="2" t="str">
        <f aca="false">TEXT(B804,"yyyy-mm")</f>
        <v>2026-04</v>
      </c>
      <c r="K804" s="8" t="n">
        <f aca="false">IF(C804="","",ROUND((C804-B804)*24,2))</f>
        <v>5.4</v>
      </c>
      <c r="L804" s="2" t="n">
        <f aca="false">INDEX('SLA Policy'!$B$2:$B$5,MATCH(E804,'SLA Policy'!$A$2:$A$5,0))</f>
        <v>8</v>
      </c>
      <c r="M804" s="2" t="str">
        <f aca="false">IF(K804="","Open",IF(K804&lt;=L804,"Yes","No"))</f>
        <v>Yes</v>
      </c>
    </row>
    <row r="805" customFormat="false" ht="15" hidden="false" customHeight="false" outlineLevel="0" collapsed="false">
      <c r="A805" s="2" t="s">
        <v>839</v>
      </c>
      <c r="B805" s="7" t="n">
        <v>46139.4125</v>
      </c>
      <c r="C805" s="7" t="n">
        <v>46140.5944444445</v>
      </c>
      <c r="D805" s="2" t="s">
        <v>27</v>
      </c>
      <c r="E805" s="2" t="s">
        <v>35</v>
      </c>
      <c r="F805" s="2" t="s">
        <v>28</v>
      </c>
      <c r="G805" s="2" t="s">
        <v>29</v>
      </c>
      <c r="H805" s="2" t="n">
        <v>5</v>
      </c>
      <c r="I805" s="2" t="str">
        <f aca="false">IF(C805="","Open","Resolved")</f>
        <v>Resolved</v>
      </c>
      <c r="J805" s="2" t="str">
        <f aca="false">TEXT(B805,"yyyy-mm")</f>
        <v>2026-04</v>
      </c>
      <c r="K805" s="8" t="n">
        <f aca="false">IF(C805="","",ROUND((C805-B805)*24,2))</f>
        <v>28.37</v>
      </c>
      <c r="L805" s="2" t="n">
        <f aca="false">INDEX('SLA Policy'!$B$2:$B$5,MATCH(E805,'SLA Policy'!$A$2:$A$5,0))</f>
        <v>24</v>
      </c>
      <c r="M805" s="2" t="str">
        <f aca="false">IF(K805="","Open",IF(K805&lt;=L805,"Yes","No"))</f>
        <v>No</v>
      </c>
    </row>
    <row r="806" customFormat="false" ht="15" hidden="false" customHeight="false" outlineLevel="0" collapsed="false">
      <c r="A806" s="2" t="s">
        <v>840</v>
      </c>
      <c r="B806" s="7" t="n">
        <v>46139.6881944445</v>
      </c>
      <c r="C806" s="7" t="n">
        <v>46140.6590277778</v>
      </c>
      <c r="D806" s="2" t="s">
        <v>31</v>
      </c>
      <c r="E806" s="2" t="s">
        <v>32</v>
      </c>
      <c r="F806" s="2" t="s">
        <v>27</v>
      </c>
      <c r="G806" s="2" t="s">
        <v>33</v>
      </c>
      <c r="H806" s="2" t="n">
        <v>3</v>
      </c>
      <c r="I806" s="2" t="str">
        <f aca="false">IF(C806="","Open","Resolved")</f>
        <v>Resolved</v>
      </c>
      <c r="J806" s="2" t="str">
        <f aca="false">TEXT(B806,"yyyy-mm")</f>
        <v>2026-04</v>
      </c>
      <c r="K806" s="8" t="n">
        <f aca="false">IF(C806="","",ROUND((C806-B806)*24,2))</f>
        <v>23.3</v>
      </c>
      <c r="L806" s="2" t="n">
        <f aca="false">INDEX('SLA Policy'!$B$2:$B$5,MATCH(E806,'SLA Policy'!$A$2:$A$5,0))</f>
        <v>72</v>
      </c>
      <c r="M806" s="2" t="str">
        <f aca="false">IF(K806="","Open",IF(K806&lt;=L806,"Yes","No"))</f>
        <v>Yes</v>
      </c>
    </row>
    <row r="807" customFormat="false" ht="15" hidden="false" customHeight="false" outlineLevel="0" collapsed="false">
      <c r="A807" s="2" t="s">
        <v>841</v>
      </c>
      <c r="B807" s="7" t="n">
        <v>46139.7020833333</v>
      </c>
      <c r="C807" s="7" t="n">
        <v>46141.5916666667</v>
      </c>
      <c r="D807" s="2" t="s">
        <v>31</v>
      </c>
      <c r="E807" s="2" t="s">
        <v>35</v>
      </c>
      <c r="F807" s="2" t="s">
        <v>28</v>
      </c>
      <c r="G807" s="2" t="s">
        <v>33</v>
      </c>
      <c r="H807" s="2" t="n">
        <v>3</v>
      </c>
      <c r="I807" s="2" t="str">
        <f aca="false">IF(C807="","Open","Resolved")</f>
        <v>Resolved</v>
      </c>
      <c r="J807" s="2" t="str">
        <f aca="false">TEXT(B807,"yyyy-mm")</f>
        <v>2026-04</v>
      </c>
      <c r="K807" s="8" t="n">
        <f aca="false">IF(C807="","",ROUND((C807-B807)*24,2))</f>
        <v>45.35</v>
      </c>
      <c r="L807" s="2" t="n">
        <f aca="false">INDEX('SLA Policy'!$B$2:$B$5,MATCH(E807,'SLA Policy'!$A$2:$A$5,0))</f>
        <v>24</v>
      </c>
      <c r="M807" s="2" t="str">
        <f aca="false">IF(K807="","Open",IF(K807&lt;=L807,"Yes","No"))</f>
        <v>No</v>
      </c>
    </row>
    <row r="808" customFormat="false" ht="15" hidden="false" customHeight="false" outlineLevel="0" collapsed="false">
      <c r="A808" s="2" t="s">
        <v>842</v>
      </c>
      <c r="B808" s="7" t="n">
        <v>46139.7055555556</v>
      </c>
      <c r="C808" s="7" t="n">
        <v>46143.4041666667</v>
      </c>
      <c r="D808" s="2" t="s">
        <v>48</v>
      </c>
      <c r="E808" s="2" t="s">
        <v>32</v>
      </c>
      <c r="F808" s="2" t="s">
        <v>27</v>
      </c>
      <c r="G808" s="2" t="s">
        <v>25</v>
      </c>
      <c r="H808" s="2" t="n">
        <v>2</v>
      </c>
      <c r="I808" s="2" t="str">
        <f aca="false">IF(C808="","Open","Resolved")</f>
        <v>Resolved</v>
      </c>
      <c r="J808" s="2" t="str">
        <f aca="false">TEXT(B808,"yyyy-mm")</f>
        <v>2026-04</v>
      </c>
      <c r="K808" s="8" t="n">
        <f aca="false">IF(C808="","",ROUND((C808-B808)*24,2))</f>
        <v>88.77</v>
      </c>
      <c r="L808" s="2" t="n">
        <f aca="false">INDEX('SLA Policy'!$B$2:$B$5,MATCH(E808,'SLA Policy'!$A$2:$A$5,0))</f>
        <v>72</v>
      </c>
      <c r="M808" s="2" t="str">
        <f aca="false">IF(K808="","Open",IF(K808&lt;=L808,"Yes","No"))</f>
        <v>No</v>
      </c>
    </row>
    <row r="809" customFormat="false" ht="15" hidden="false" customHeight="false" outlineLevel="0" collapsed="false">
      <c r="A809" s="2" t="s">
        <v>843</v>
      </c>
      <c r="B809" s="7" t="n">
        <v>46139.7069444444</v>
      </c>
      <c r="C809" s="7" t="n">
        <v>46140.1597222222</v>
      </c>
      <c r="D809" s="2" t="s">
        <v>42</v>
      </c>
      <c r="E809" s="2" t="s">
        <v>32</v>
      </c>
      <c r="F809" s="2" t="s">
        <v>24</v>
      </c>
      <c r="G809" s="2" t="s">
        <v>29</v>
      </c>
      <c r="H809" s="2" t="n">
        <v>4</v>
      </c>
      <c r="I809" s="2" t="str">
        <f aca="false">IF(C809="","Open","Resolved")</f>
        <v>Resolved</v>
      </c>
      <c r="J809" s="2" t="str">
        <f aca="false">TEXT(B809,"yyyy-mm")</f>
        <v>2026-04</v>
      </c>
      <c r="K809" s="8" t="n">
        <f aca="false">IF(C809="","",ROUND((C809-B809)*24,2))</f>
        <v>10.87</v>
      </c>
      <c r="L809" s="2" t="n">
        <f aca="false">INDEX('SLA Policy'!$B$2:$B$5,MATCH(E809,'SLA Policy'!$A$2:$A$5,0))</f>
        <v>72</v>
      </c>
      <c r="M809" s="2" t="str">
        <f aca="false">IF(K809="","Open",IF(K809&lt;=L809,"Yes","No"))</f>
        <v>Yes</v>
      </c>
    </row>
    <row r="810" customFormat="false" ht="15" hidden="false" customHeight="false" outlineLevel="0" collapsed="false">
      <c r="A810" s="2" t="s">
        <v>844</v>
      </c>
      <c r="B810" s="7" t="n">
        <v>46139.7159722222</v>
      </c>
      <c r="C810" s="7" t="n">
        <v>46141.0027777778</v>
      </c>
      <c r="D810" s="2" t="s">
        <v>42</v>
      </c>
      <c r="E810" s="2" t="s">
        <v>32</v>
      </c>
      <c r="F810" s="2" t="s">
        <v>38</v>
      </c>
      <c r="G810" s="2" t="s">
        <v>29</v>
      </c>
      <c r="H810" s="2" t="n">
        <v>3</v>
      </c>
      <c r="I810" s="2" t="str">
        <f aca="false">IF(C810="","Open","Resolved")</f>
        <v>Resolved</v>
      </c>
      <c r="J810" s="2" t="str">
        <f aca="false">TEXT(B810,"yyyy-mm")</f>
        <v>2026-04</v>
      </c>
      <c r="K810" s="8" t="n">
        <f aca="false">IF(C810="","",ROUND((C810-B810)*24,2))</f>
        <v>30.88</v>
      </c>
      <c r="L810" s="2" t="n">
        <f aca="false">INDEX('SLA Policy'!$B$2:$B$5,MATCH(E810,'SLA Policy'!$A$2:$A$5,0))</f>
        <v>72</v>
      </c>
      <c r="M810" s="2" t="str">
        <f aca="false">IF(K810="","Open",IF(K810&lt;=L810,"Yes","No"))</f>
        <v>Yes</v>
      </c>
    </row>
    <row r="811" customFormat="false" ht="15" hidden="false" customHeight="false" outlineLevel="0" collapsed="false">
      <c r="A811" s="2" t="s">
        <v>845</v>
      </c>
      <c r="B811" s="7" t="n">
        <v>46140.2958333333</v>
      </c>
      <c r="C811" s="7" t="n">
        <v>46140.8486111111</v>
      </c>
      <c r="D811" s="2" t="s">
        <v>22</v>
      </c>
      <c r="E811" s="2" t="s">
        <v>23</v>
      </c>
      <c r="F811" s="2" t="s">
        <v>28</v>
      </c>
      <c r="G811" s="2" t="s">
        <v>25</v>
      </c>
      <c r="H811" s="2" t="n">
        <v>5</v>
      </c>
      <c r="I811" s="2" t="str">
        <f aca="false">IF(C811="","Open","Resolved")</f>
        <v>Resolved</v>
      </c>
      <c r="J811" s="2" t="str">
        <f aca="false">TEXT(B811,"yyyy-mm")</f>
        <v>2026-04</v>
      </c>
      <c r="K811" s="8" t="n">
        <f aca="false">IF(C811="","",ROUND((C811-B811)*24,2))</f>
        <v>13.27</v>
      </c>
      <c r="L811" s="2" t="n">
        <f aca="false">INDEX('SLA Policy'!$B$2:$B$5,MATCH(E811,'SLA Policy'!$A$2:$A$5,0))</f>
        <v>8</v>
      </c>
      <c r="M811" s="2" t="str">
        <f aca="false">IF(K811="","Open",IF(K811&lt;=L811,"Yes","No"))</f>
        <v>No</v>
      </c>
    </row>
    <row r="812" customFormat="false" ht="15" hidden="false" customHeight="false" outlineLevel="0" collapsed="false">
      <c r="A812" s="2" t="s">
        <v>846</v>
      </c>
      <c r="B812" s="7" t="n">
        <v>46140.3111111111</v>
      </c>
      <c r="C812" s="7" t="n">
        <v>46140.7666666667</v>
      </c>
      <c r="D812" s="2" t="s">
        <v>31</v>
      </c>
      <c r="E812" s="2" t="s">
        <v>35</v>
      </c>
      <c r="F812" s="2" t="s">
        <v>38</v>
      </c>
      <c r="G812" s="2" t="s">
        <v>33</v>
      </c>
      <c r="H812" s="2" t="n">
        <v>4</v>
      </c>
      <c r="I812" s="2" t="str">
        <f aca="false">IF(C812="","Open","Resolved")</f>
        <v>Resolved</v>
      </c>
      <c r="J812" s="2" t="str">
        <f aca="false">TEXT(B812,"yyyy-mm")</f>
        <v>2026-04</v>
      </c>
      <c r="K812" s="8" t="n">
        <f aca="false">IF(C812="","",ROUND((C812-B812)*24,2))</f>
        <v>10.93</v>
      </c>
      <c r="L812" s="2" t="n">
        <f aca="false">INDEX('SLA Policy'!$B$2:$B$5,MATCH(E812,'SLA Policy'!$A$2:$A$5,0))</f>
        <v>24</v>
      </c>
      <c r="M812" s="2" t="str">
        <f aca="false">IF(K812="","Open",IF(K812&lt;=L812,"Yes","No"))</f>
        <v>Yes</v>
      </c>
    </row>
    <row r="813" customFormat="false" ht="15" hidden="false" customHeight="false" outlineLevel="0" collapsed="false">
      <c r="A813" s="2" t="s">
        <v>847</v>
      </c>
      <c r="B813" s="7" t="n">
        <v>46140.3409722222</v>
      </c>
      <c r="C813" s="7" t="n">
        <v>46140.6284722222</v>
      </c>
      <c r="D813" s="2" t="s">
        <v>42</v>
      </c>
      <c r="E813" s="2" t="s">
        <v>23</v>
      </c>
      <c r="F813" s="2" t="s">
        <v>38</v>
      </c>
      <c r="G813" s="2" t="s">
        <v>29</v>
      </c>
      <c r="H813" s="2" t="n">
        <v>5</v>
      </c>
      <c r="I813" s="2" t="str">
        <f aca="false">IF(C813="","Open","Resolved")</f>
        <v>Resolved</v>
      </c>
      <c r="J813" s="2" t="str">
        <f aca="false">TEXT(B813,"yyyy-mm")</f>
        <v>2026-04</v>
      </c>
      <c r="K813" s="8" t="n">
        <f aca="false">IF(C813="","",ROUND((C813-B813)*24,2))</f>
        <v>6.9</v>
      </c>
      <c r="L813" s="2" t="n">
        <f aca="false">INDEX('SLA Policy'!$B$2:$B$5,MATCH(E813,'SLA Policy'!$A$2:$A$5,0))</f>
        <v>8</v>
      </c>
      <c r="M813" s="2" t="str">
        <f aca="false">IF(K813="","Open",IF(K813&lt;=L813,"Yes","No"))</f>
        <v>Yes</v>
      </c>
    </row>
    <row r="814" customFormat="false" ht="15" hidden="false" customHeight="false" outlineLevel="0" collapsed="false">
      <c r="A814" s="2" t="s">
        <v>848</v>
      </c>
      <c r="B814" s="7" t="n">
        <v>46140.4229166667</v>
      </c>
      <c r="C814" s="7" t="n">
        <v>46141.1076388889</v>
      </c>
      <c r="D814" s="2" t="s">
        <v>31</v>
      </c>
      <c r="E814" s="2" t="s">
        <v>35</v>
      </c>
      <c r="F814" s="2" t="s">
        <v>27</v>
      </c>
      <c r="G814" s="2" t="s">
        <v>33</v>
      </c>
      <c r="H814" s="2" t="n">
        <v>5</v>
      </c>
      <c r="I814" s="2" t="str">
        <f aca="false">IF(C814="","Open","Resolved")</f>
        <v>Resolved</v>
      </c>
      <c r="J814" s="2" t="str">
        <f aca="false">TEXT(B814,"yyyy-mm")</f>
        <v>2026-04</v>
      </c>
      <c r="K814" s="8" t="n">
        <f aca="false">IF(C814="","",ROUND((C814-B814)*24,2))</f>
        <v>16.43</v>
      </c>
      <c r="L814" s="2" t="n">
        <f aca="false">INDEX('SLA Policy'!$B$2:$B$5,MATCH(E814,'SLA Policy'!$A$2:$A$5,0))</f>
        <v>24</v>
      </c>
      <c r="M814" s="2" t="str">
        <f aca="false">IF(K814="","Open",IF(K814&lt;=L814,"Yes","No"))</f>
        <v>Yes</v>
      </c>
    </row>
    <row r="815" customFormat="false" ht="15" hidden="false" customHeight="false" outlineLevel="0" collapsed="false">
      <c r="A815" s="2" t="s">
        <v>849</v>
      </c>
      <c r="B815" s="7" t="n">
        <v>46140.4506944444</v>
      </c>
      <c r="C815" s="7" t="n">
        <v>46141.6722222222</v>
      </c>
      <c r="D815" s="2" t="s">
        <v>42</v>
      </c>
      <c r="E815" s="2" t="s">
        <v>32</v>
      </c>
      <c r="F815" s="2" t="s">
        <v>27</v>
      </c>
      <c r="G815" s="2" t="s">
        <v>29</v>
      </c>
      <c r="H815" s="2" t="n">
        <v>3</v>
      </c>
      <c r="I815" s="2" t="str">
        <f aca="false">IF(C815="","Open","Resolved")</f>
        <v>Resolved</v>
      </c>
      <c r="J815" s="2" t="str">
        <f aca="false">TEXT(B815,"yyyy-mm")</f>
        <v>2026-04</v>
      </c>
      <c r="K815" s="8" t="n">
        <f aca="false">IF(C815="","",ROUND((C815-B815)*24,2))</f>
        <v>29.32</v>
      </c>
      <c r="L815" s="2" t="n">
        <f aca="false">INDEX('SLA Policy'!$B$2:$B$5,MATCH(E815,'SLA Policy'!$A$2:$A$5,0))</f>
        <v>72</v>
      </c>
      <c r="M815" s="2" t="str">
        <f aca="false">IF(K815="","Open",IF(K815&lt;=L815,"Yes","No"))</f>
        <v>Yes</v>
      </c>
    </row>
    <row r="816" customFormat="false" ht="15" hidden="false" customHeight="false" outlineLevel="0" collapsed="false">
      <c r="A816" s="2" t="s">
        <v>850</v>
      </c>
      <c r="B816" s="7" t="n">
        <v>46140.5951388889</v>
      </c>
      <c r="C816" s="7" t="n">
        <v>46144.2125</v>
      </c>
      <c r="D816" s="2" t="s">
        <v>48</v>
      </c>
      <c r="E816" s="2" t="s">
        <v>35</v>
      </c>
      <c r="F816" s="2" t="s">
        <v>38</v>
      </c>
      <c r="G816" s="2" t="s">
        <v>25</v>
      </c>
      <c r="H816" s="2" t="n">
        <v>1</v>
      </c>
      <c r="I816" s="2" t="str">
        <f aca="false">IF(C816="","Open","Resolved")</f>
        <v>Resolved</v>
      </c>
      <c r="J816" s="2" t="str">
        <f aca="false">TEXT(B816,"yyyy-mm")</f>
        <v>2026-04</v>
      </c>
      <c r="K816" s="8" t="n">
        <f aca="false">IF(C816="","",ROUND((C816-B816)*24,2))</f>
        <v>86.82</v>
      </c>
      <c r="L816" s="2" t="n">
        <f aca="false">INDEX('SLA Policy'!$B$2:$B$5,MATCH(E816,'SLA Policy'!$A$2:$A$5,0))</f>
        <v>24</v>
      </c>
      <c r="M816" s="2" t="str">
        <f aca="false">IF(K816="","Open",IF(K816&lt;=L816,"Yes","No"))</f>
        <v>No</v>
      </c>
    </row>
    <row r="817" customFormat="false" ht="15" hidden="false" customHeight="false" outlineLevel="0" collapsed="false">
      <c r="A817" s="2" t="s">
        <v>851</v>
      </c>
      <c r="B817" s="7" t="n">
        <v>46140.7076388889</v>
      </c>
      <c r="C817" s="7" t="n">
        <v>46141.675</v>
      </c>
      <c r="D817" s="2" t="s">
        <v>48</v>
      </c>
      <c r="E817" s="2" t="s">
        <v>23</v>
      </c>
      <c r="F817" s="2" t="s">
        <v>27</v>
      </c>
      <c r="G817" s="2" t="s">
        <v>25</v>
      </c>
      <c r="H817" s="2" t="n">
        <v>5</v>
      </c>
      <c r="I817" s="2" t="str">
        <f aca="false">IF(C817="","Open","Resolved")</f>
        <v>Resolved</v>
      </c>
      <c r="J817" s="2" t="str">
        <f aca="false">TEXT(B817,"yyyy-mm")</f>
        <v>2026-04</v>
      </c>
      <c r="K817" s="8" t="n">
        <f aca="false">IF(C817="","",ROUND((C817-B817)*24,2))</f>
        <v>23.22</v>
      </c>
      <c r="L817" s="2" t="n">
        <f aca="false">INDEX('SLA Policy'!$B$2:$B$5,MATCH(E817,'SLA Policy'!$A$2:$A$5,0))</f>
        <v>8</v>
      </c>
      <c r="M817" s="2" t="str">
        <f aca="false">IF(K817="","Open",IF(K817&lt;=L817,"Yes","No"))</f>
        <v>No</v>
      </c>
    </row>
    <row r="818" customFormat="false" ht="15" hidden="false" customHeight="false" outlineLevel="0" collapsed="false">
      <c r="A818" s="2" t="s">
        <v>852</v>
      </c>
      <c r="B818" s="7" t="n">
        <v>46140.7756944444</v>
      </c>
      <c r="C818" s="7" t="n">
        <v>46143.6229166667</v>
      </c>
      <c r="D818" s="2" t="s">
        <v>48</v>
      </c>
      <c r="E818" s="2" t="s">
        <v>32</v>
      </c>
      <c r="F818" s="2" t="s">
        <v>27</v>
      </c>
      <c r="G818" s="2" t="s">
        <v>25</v>
      </c>
      <c r="H818" s="2" t="n">
        <v>2</v>
      </c>
      <c r="I818" s="2" t="str">
        <f aca="false">IF(C818="","Open","Resolved")</f>
        <v>Resolved</v>
      </c>
      <c r="J818" s="2" t="str">
        <f aca="false">TEXT(B818,"yyyy-mm")</f>
        <v>2026-04</v>
      </c>
      <c r="K818" s="8" t="n">
        <f aca="false">IF(C818="","",ROUND((C818-B818)*24,2))</f>
        <v>68.33</v>
      </c>
      <c r="L818" s="2" t="n">
        <f aca="false">INDEX('SLA Policy'!$B$2:$B$5,MATCH(E818,'SLA Policy'!$A$2:$A$5,0))</f>
        <v>72</v>
      </c>
      <c r="M818" s="2" t="str">
        <f aca="false">IF(K818="","Open",IF(K818&lt;=L818,"Yes","No"))</f>
        <v>Yes</v>
      </c>
    </row>
    <row r="819" customFormat="false" ht="15" hidden="false" customHeight="false" outlineLevel="0" collapsed="false">
      <c r="A819" s="2" t="s">
        <v>853</v>
      </c>
      <c r="B819" s="7" t="n">
        <v>46141.3701388889</v>
      </c>
      <c r="C819" s="7" t="n">
        <v>46144.9368055556</v>
      </c>
      <c r="D819" s="2" t="s">
        <v>22</v>
      </c>
      <c r="E819" s="2" t="s">
        <v>32</v>
      </c>
      <c r="F819" s="2" t="s">
        <v>38</v>
      </c>
      <c r="G819" s="2" t="s">
        <v>25</v>
      </c>
      <c r="H819" s="2" t="n">
        <v>1</v>
      </c>
      <c r="I819" s="2" t="str">
        <f aca="false">IF(C819="","Open","Resolved")</f>
        <v>Resolved</v>
      </c>
      <c r="J819" s="2" t="str">
        <f aca="false">TEXT(B819,"yyyy-mm")</f>
        <v>2026-04</v>
      </c>
      <c r="K819" s="8" t="n">
        <f aca="false">IF(C819="","",ROUND((C819-B819)*24,2))</f>
        <v>85.6</v>
      </c>
      <c r="L819" s="2" t="n">
        <f aca="false">INDEX('SLA Policy'!$B$2:$B$5,MATCH(E819,'SLA Policy'!$A$2:$A$5,0))</f>
        <v>72</v>
      </c>
      <c r="M819" s="2" t="str">
        <f aca="false">IF(K819="","Open",IF(K819&lt;=L819,"Yes","No"))</f>
        <v>No</v>
      </c>
    </row>
    <row r="820" customFormat="false" ht="15" hidden="false" customHeight="false" outlineLevel="0" collapsed="false">
      <c r="A820" s="2" t="s">
        <v>854</v>
      </c>
      <c r="B820" s="7" t="n">
        <v>46141.375</v>
      </c>
      <c r="C820" s="7" t="n">
        <v>46146.0854166667</v>
      </c>
      <c r="D820" s="2" t="s">
        <v>48</v>
      </c>
      <c r="E820" s="2" t="s">
        <v>32</v>
      </c>
      <c r="F820" s="2" t="s">
        <v>27</v>
      </c>
      <c r="G820" s="2" t="s">
        <v>25</v>
      </c>
      <c r="H820" s="2" t="n">
        <v>1</v>
      </c>
      <c r="I820" s="2" t="str">
        <f aca="false">IF(C820="","Open","Resolved")</f>
        <v>Resolved</v>
      </c>
      <c r="J820" s="2" t="str">
        <f aca="false">TEXT(B820,"yyyy-mm")</f>
        <v>2026-04</v>
      </c>
      <c r="K820" s="8" t="n">
        <f aca="false">IF(C820="","",ROUND((C820-B820)*24,2))</f>
        <v>113.05</v>
      </c>
      <c r="L820" s="2" t="n">
        <f aca="false">INDEX('SLA Policy'!$B$2:$B$5,MATCH(E820,'SLA Policy'!$A$2:$A$5,0))</f>
        <v>72</v>
      </c>
      <c r="M820" s="2" t="str">
        <f aca="false">IF(K820="","Open",IF(K820&lt;=L820,"Yes","No"))</f>
        <v>No</v>
      </c>
    </row>
    <row r="821" customFormat="false" ht="15" hidden="false" customHeight="false" outlineLevel="0" collapsed="false">
      <c r="A821" s="2" t="s">
        <v>855</v>
      </c>
      <c r="B821" s="7" t="n">
        <v>46141.3909722222</v>
      </c>
      <c r="C821" s="7" t="n">
        <v>46143.0680555556</v>
      </c>
      <c r="D821" s="2" t="s">
        <v>31</v>
      </c>
      <c r="E821" s="2" t="s">
        <v>32</v>
      </c>
      <c r="F821" s="2" t="s">
        <v>24</v>
      </c>
      <c r="G821" s="2" t="s">
        <v>33</v>
      </c>
      <c r="H821" s="2" t="n">
        <v>4</v>
      </c>
      <c r="I821" s="2" t="str">
        <f aca="false">IF(C821="","Open","Resolved")</f>
        <v>Resolved</v>
      </c>
      <c r="J821" s="2" t="str">
        <f aca="false">TEXT(B821,"yyyy-mm")</f>
        <v>2026-04</v>
      </c>
      <c r="K821" s="8" t="n">
        <f aca="false">IF(C821="","",ROUND((C821-B821)*24,2))</f>
        <v>40.25</v>
      </c>
      <c r="L821" s="2" t="n">
        <f aca="false">INDEX('SLA Policy'!$B$2:$B$5,MATCH(E821,'SLA Policy'!$A$2:$A$5,0))</f>
        <v>72</v>
      </c>
      <c r="M821" s="2" t="str">
        <f aca="false">IF(K821="","Open",IF(K821&lt;=L821,"Yes","No"))</f>
        <v>Yes</v>
      </c>
    </row>
    <row r="822" customFormat="false" ht="15" hidden="false" customHeight="false" outlineLevel="0" collapsed="false">
      <c r="A822" s="2" t="s">
        <v>856</v>
      </c>
      <c r="B822" s="7" t="n">
        <v>46141.4222222222</v>
      </c>
      <c r="C822" s="7" t="n">
        <v>46144.9986111111</v>
      </c>
      <c r="D822" s="2" t="s">
        <v>31</v>
      </c>
      <c r="E822" s="2" t="s">
        <v>32</v>
      </c>
      <c r="F822" s="2" t="s">
        <v>28</v>
      </c>
      <c r="G822" s="2" t="s">
        <v>33</v>
      </c>
      <c r="H822" s="2" t="n">
        <v>2</v>
      </c>
      <c r="I822" s="2" t="str">
        <f aca="false">IF(C822="","Open","Resolved")</f>
        <v>Resolved</v>
      </c>
      <c r="J822" s="2" t="str">
        <f aca="false">TEXT(B822,"yyyy-mm")</f>
        <v>2026-04</v>
      </c>
      <c r="K822" s="8" t="n">
        <f aca="false">IF(C822="","",ROUND((C822-B822)*24,2))</f>
        <v>85.83</v>
      </c>
      <c r="L822" s="2" t="n">
        <f aca="false">INDEX('SLA Policy'!$B$2:$B$5,MATCH(E822,'SLA Policy'!$A$2:$A$5,0))</f>
        <v>72</v>
      </c>
      <c r="M822" s="2" t="str">
        <f aca="false">IF(K822="","Open",IF(K822&lt;=L822,"Yes","No"))</f>
        <v>No</v>
      </c>
    </row>
    <row r="823" customFormat="false" ht="15" hidden="false" customHeight="false" outlineLevel="0" collapsed="false">
      <c r="A823" s="2" t="s">
        <v>857</v>
      </c>
      <c r="B823" s="7" t="n">
        <v>46141.5534722222</v>
      </c>
      <c r="C823" s="7" t="n">
        <v>46142.0826388889</v>
      </c>
      <c r="D823" s="2" t="s">
        <v>27</v>
      </c>
      <c r="E823" s="2" t="s">
        <v>35</v>
      </c>
      <c r="F823" s="2" t="s">
        <v>27</v>
      </c>
      <c r="G823" s="2" t="s">
        <v>29</v>
      </c>
      <c r="H823" s="2" t="n">
        <v>4</v>
      </c>
      <c r="I823" s="2" t="str">
        <f aca="false">IF(C823="","Open","Resolved")</f>
        <v>Resolved</v>
      </c>
      <c r="J823" s="2" t="str">
        <f aca="false">TEXT(B823,"yyyy-mm")</f>
        <v>2026-04</v>
      </c>
      <c r="K823" s="8" t="n">
        <f aca="false">IF(C823="","",ROUND((C823-B823)*24,2))</f>
        <v>12.7</v>
      </c>
      <c r="L823" s="2" t="n">
        <f aca="false">INDEX('SLA Policy'!$B$2:$B$5,MATCH(E823,'SLA Policy'!$A$2:$A$5,0))</f>
        <v>24</v>
      </c>
      <c r="M823" s="2" t="str">
        <f aca="false">IF(K823="","Open",IF(K823&lt;=L823,"Yes","No"))</f>
        <v>Yes</v>
      </c>
    </row>
    <row r="824" customFormat="false" ht="15" hidden="false" customHeight="false" outlineLevel="0" collapsed="false">
      <c r="A824" s="2" t="s">
        <v>858</v>
      </c>
      <c r="B824" s="7" t="n">
        <v>46141.6597222222</v>
      </c>
      <c r="C824" s="7" t="n">
        <v>46142.3375</v>
      </c>
      <c r="D824" s="2" t="s">
        <v>27</v>
      </c>
      <c r="E824" s="2" t="s">
        <v>32</v>
      </c>
      <c r="F824" s="2" t="s">
        <v>24</v>
      </c>
      <c r="G824" s="2" t="s">
        <v>29</v>
      </c>
      <c r="H824" s="2" t="n">
        <v>5</v>
      </c>
      <c r="I824" s="2" t="str">
        <f aca="false">IF(C824="","Open","Resolved")</f>
        <v>Resolved</v>
      </c>
      <c r="J824" s="2" t="str">
        <f aca="false">TEXT(B824,"yyyy-mm")</f>
        <v>2026-04</v>
      </c>
      <c r="K824" s="8" t="n">
        <f aca="false">IF(C824="","",ROUND((C824-B824)*24,2))</f>
        <v>16.27</v>
      </c>
      <c r="L824" s="2" t="n">
        <f aca="false">INDEX('SLA Policy'!$B$2:$B$5,MATCH(E824,'SLA Policy'!$A$2:$A$5,0))</f>
        <v>72</v>
      </c>
      <c r="M824" s="2" t="str">
        <f aca="false">IF(K824="","Open",IF(K824&lt;=L824,"Yes","No"))</f>
        <v>Yes</v>
      </c>
    </row>
    <row r="825" customFormat="false" ht="15" hidden="false" customHeight="false" outlineLevel="0" collapsed="false">
      <c r="A825" s="2" t="s">
        <v>859</v>
      </c>
      <c r="B825" s="7" t="n">
        <v>46142.4423611111</v>
      </c>
      <c r="C825" s="7" t="n">
        <v>46142.8048611111</v>
      </c>
      <c r="D825" s="2" t="s">
        <v>31</v>
      </c>
      <c r="E825" s="2" t="s">
        <v>35</v>
      </c>
      <c r="F825" s="2" t="s">
        <v>27</v>
      </c>
      <c r="G825" s="2" t="s">
        <v>33</v>
      </c>
      <c r="H825" s="2" t="n">
        <v>5</v>
      </c>
      <c r="I825" s="2" t="str">
        <f aca="false">IF(C825="","Open","Resolved")</f>
        <v>Resolved</v>
      </c>
      <c r="J825" s="2" t="str">
        <f aca="false">TEXT(B825,"yyyy-mm")</f>
        <v>2026-04</v>
      </c>
      <c r="K825" s="8" t="n">
        <f aca="false">IF(C825="","",ROUND((C825-B825)*24,2))</f>
        <v>8.7</v>
      </c>
      <c r="L825" s="2" t="n">
        <f aca="false">INDEX('SLA Policy'!$B$2:$B$5,MATCH(E825,'SLA Policy'!$A$2:$A$5,0))</f>
        <v>24</v>
      </c>
      <c r="M825" s="2" t="str">
        <f aca="false">IF(K825="","Open",IF(K825&lt;=L825,"Yes","No"))</f>
        <v>Yes</v>
      </c>
    </row>
    <row r="826" customFormat="false" ht="15" hidden="false" customHeight="false" outlineLevel="0" collapsed="false">
      <c r="A826" s="2" t="s">
        <v>860</v>
      </c>
      <c r="B826" s="7" t="n">
        <v>46142.7590277778</v>
      </c>
      <c r="C826" s="7" t="n">
        <v>46142.9194444444</v>
      </c>
      <c r="D826" s="2" t="s">
        <v>27</v>
      </c>
      <c r="E826" s="2" t="s">
        <v>23</v>
      </c>
      <c r="F826" s="2" t="s">
        <v>27</v>
      </c>
      <c r="G826" s="2" t="s">
        <v>29</v>
      </c>
      <c r="H826" s="2" t="n">
        <v>5</v>
      </c>
      <c r="I826" s="2" t="str">
        <f aca="false">IF(C826="","Open","Resolved")</f>
        <v>Resolved</v>
      </c>
      <c r="J826" s="2" t="str">
        <f aca="false">TEXT(B826,"yyyy-mm")</f>
        <v>2026-04</v>
      </c>
      <c r="K826" s="8" t="n">
        <f aca="false">IF(C826="","",ROUND((C826-B826)*24,2))</f>
        <v>3.85</v>
      </c>
      <c r="L826" s="2" t="n">
        <f aca="false">INDEX('SLA Policy'!$B$2:$B$5,MATCH(E826,'SLA Policy'!$A$2:$A$5,0))</f>
        <v>8</v>
      </c>
      <c r="M826" s="2" t="str">
        <f aca="false">IF(K826="","Open",IF(K826&lt;=L826,"Yes","No"))</f>
        <v>Yes</v>
      </c>
    </row>
    <row r="827" customFormat="false" ht="15" hidden="false" customHeight="false" outlineLevel="0" collapsed="false">
      <c r="A827" s="2" t="s">
        <v>861</v>
      </c>
      <c r="B827" s="7" t="n">
        <v>46142.7604166667</v>
      </c>
      <c r="C827" s="7" t="n">
        <v>46142.9298611111</v>
      </c>
      <c r="D827" s="2" t="s">
        <v>22</v>
      </c>
      <c r="E827" s="2" t="s">
        <v>40</v>
      </c>
      <c r="F827" s="2" t="s">
        <v>38</v>
      </c>
      <c r="G827" s="2" t="s">
        <v>25</v>
      </c>
      <c r="H827" s="2" t="n">
        <v>5</v>
      </c>
      <c r="I827" s="2" t="str">
        <f aca="false">IF(C827="","Open","Resolved")</f>
        <v>Resolved</v>
      </c>
      <c r="J827" s="2" t="str">
        <f aca="false">TEXT(B827,"yyyy-mm")</f>
        <v>2026-04</v>
      </c>
      <c r="K827" s="8" t="n">
        <f aca="false">IF(C827="","",ROUND((C827-B827)*24,2))</f>
        <v>4.07</v>
      </c>
      <c r="L827" s="2" t="n">
        <f aca="false">INDEX('SLA Policy'!$B$2:$B$5,MATCH(E827,'SLA Policy'!$A$2:$A$5,0))</f>
        <v>4</v>
      </c>
      <c r="M827" s="2" t="str">
        <f aca="false">IF(K827="","Open",IF(K827&lt;=L827,"Yes","No"))</f>
        <v>No</v>
      </c>
    </row>
    <row r="828" customFormat="false" ht="15" hidden="false" customHeight="false" outlineLevel="0" collapsed="false">
      <c r="A828" s="2" t="s">
        <v>862</v>
      </c>
      <c r="B828" s="7" t="n">
        <v>46142.7791666667</v>
      </c>
      <c r="C828" s="7" t="n">
        <v>46143.1020833333</v>
      </c>
      <c r="D828" s="2" t="s">
        <v>48</v>
      </c>
      <c r="E828" s="2" t="s">
        <v>23</v>
      </c>
      <c r="F828" s="2" t="s">
        <v>38</v>
      </c>
      <c r="G828" s="2" t="s">
        <v>25</v>
      </c>
      <c r="H828" s="2" t="n">
        <v>4</v>
      </c>
      <c r="I828" s="2" t="str">
        <f aca="false">IF(C828="","Open","Resolved")</f>
        <v>Resolved</v>
      </c>
      <c r="J828" s="2" t="str">
        <f aca="false">TEXT(B828,"yyyy-mm")</f>
        <v>2026-04</v>
      </c>
      <c r="K828" s="8" t="n">
        <f aca="false">IF(C828="","",ROUND((C828-B828)*24,2))</f>
        <v>7.75</v>
      </c>
      <c r="L828" s="2" t="n">
        <f aca="false">INDEX('SLA Policy'!$B$2:$B$5,MATCH(E828,'SLA Policy'!$A$2:$A$5,0))</f>
        <v>8</v>
      </c>
      <c r="M828" s="2" t="str">
        <f aca="false">IF(K828="","Open",IF(K828&lt;=L828,"Yes","No"))</f>
        <v>Yes</v>
      </c>
    </row>
    <row r="829" customFormat="false" ht="15" hidden="false" customHeight="false" outlineLevel="0" collapsed="false">
      <c r="A829" s="2" t="s">
        <v>863</v>
      </c>
      <c r="B829" s="7" t="n">
        <v>46143.3055555556</v>
      </c>
      <c r="C829" s="7" t="n">
        <v>46143.4972222222</v>
      </c>
      <c r="D829" s="2" t="s">
        <v>22</v>
      </c>
      <c r="E829" s="2" t="s">
        <v>40</v>
      </c>
      <c r="F829" s="2" t="s">
        <v>28</v>
      </c>
      <c r="G829" s="2" t="s">
        <v>25</v>
      </c>
      <c r="H829" s="2" t="n">
        <v>5</v>
      </c>
      <c r="I829" s="2" t="str">
        <f aca="false">IF(C829="","Open","Resolved")</f>
        <v>Resolved</v>
      </c>
      <c r="J829" s="2" t="str">
        <f aca="false">TEXT(B829,"yyyy-mm")</f>
        <v>2026-05</v>
      </c>
      <c r="K829" s="8" t="n">
        <f aca="false">IF(C829="","",ROUND((C829-B829)*24,2))</f>
        <v>4.6</v>
      </c>
      <c r="L829" s="2" t="n">
        <f aca="false">INDEX('SLA Policy'!$B$2:$B$5,MATCH(E829,'SLA Policy'!$A$2:$A$5,0))</f>
        <v>4</v>
      </c>
      <c r="M829" s="2" t="str">
        <f aca="false">IF(K829="","Open",IF(K829&lt;=L829,"Yes","No"))</f>
        <v>No</v>
      </c>
    </row>
    <row r="830" customFormat="false" ht="15" hidden="false" customHeight="false" outlineLevel="0" collapsed="false">
      <c r="A830" s="2" t="s">
        <v>864</v>
      </c>
      <c r="B830" s="7" t="n">
        <v>46143.3090277778</v>
      </c>
      <c r="C830" s="7" t="n">
        <v>46143.9888888889</v>
      </c>
      <c r="D830" s="2" t="s">
        <v>42</v>
      </c>
      <c r="E830" s="2" t="s">
        <v>32</v>
      </c>
      <c r="F830" s="2" t="s">
        <v>28</v>
      </c>
      <c r="G830" s="2" t="s">
        <v>29</v>
      </c>
      <c r="H830" s="2" t="n">
        <v>5</v>
      </c>
      <c r="I830" s="2" t="str">
        <f aca="false">IF(C830="","Open","Resolved")</f>
        <v>Resolved</v>
      </c>
      <c r="J830" s="2" t="str">
        <f aca="false">TEXT(B830,"yyyy-mm")</f>
        <v>2026-05</v>
      </c>
      <c r="K830" s="8" t="n">
        <f aca="false">IF(C830="","",ROUND((C830-B830)*24,2))</f>
        <v>16.32</v>
      </c>
      <c r="L830" s="2" t="n">
        <f aca="false">INDEX('SLA Policy'!$B$2:$B$5,MATCH(E830,'SLA Policy'!$A$2:$A$5,0))</f>
        <v>72</v>
      </c>
      <c r="M830" s="2" t="str">
        <f aca="false">IF(K830="","Open",IF(K830&lt;=L830,"Yes","No"))</f>
        <v>Yes</v>
      </c>
    </row>
    <row r="831" customFormat="false" ht="15" hidden="false" customHeight="false" outlineLevel="0" collapsed="false">
      <c r="A831" s="2" t="s">
        <v>865</v>
      </c>
      <c r="B831" s="7" t="n">
        <v>46143.3298611111</v>
      </c>
      <c r="C831" s="7" t="n">
        <v>46144.3798611111</v>
      </c>
      <c r="D831" s="2" t="s">
        <v>31</v>
      </c>
      <c r="E831" s="2" t="s">
        <v>35</v>
      </c>
      <c r="F831" s="2" t="s">
        <v>24</v>
      </c>
      <c r="G831" s="2" t="s">
        <v>33</v>
      </c>
      <c r="H831" s="2" t="n">
        <v>3</v>
      </c>
      <c r="I831" s="2" t="str">
        <f aca="false">IF(C831="","Open","Resolved")</f>
        <v>Resolved</v>
      </c>
      <c r="J831" s="2" t="str">
        <f aca="false">TEXT(B831,"yyyy-mm")</f>
        <v>2026-05</v>
      </c>
      <c r="K831" s="8" t="n">
        <f aca="false">IF(C831="","",ROUND((C831-B831)*24,2))</f>
        <v>25.2</v>
      </c>
      <c r="L831" s="2" t="n">
        <f aca="false">INDEX('SLA Policy'!$B$2:$B$5,MATCH(E831,'SLA Policy'!$A$2:$A$5,0))</f>
        <v>24</v>
      </c>
      <c r="M831" s="2" t="str">
        <f aca="false">IF(K831="","Open",IF(K831&lt;=L831,"Yes","No"))</f>
        <v>No</v>
      </c>
    </row>
    <row r="832" customFormat="false" ht="15" hidden="false" customHeight="false" outlineLevel="0" collapsed="false">
      <c r="A832" s="2" t="s">
        <v>866</v>
      </c>
      <c r="B832" s="7" t="n">
        <v>46143.3423611111</v>
      </c>
      <c r="C832" s="7" t="n">
        <v>46143.7423611111</v>
      </c>
      <c r="D832" s="2" t="s">
        <v>42</v>
      </c>
      <c r="E832" s="2" t="s">
        <v>35</v>
      </c>
      <c r="F832" s="2" t="s">
        <v>27</v>
      </c>
      <c r="G832" s="2" t="s">
        <v>29</v>
      </c>
      <c r="H832" s="2" t="n">
        <v>4</v>
      </c>
      <c r="I832" s="2" t="str">
        <f aca="false">IF(C832="","Open","Resolved")</f>
        <v>Resolved</v>
      </c>
      <c r="J832" s="2" t="str">
        <f aca="false">TEXT(B832,"yyyy-mm")</f>
        <v>2026-05</v>
      </c>
      <c r="K832" s="8" t="n">
        <f aca="false">IF(C832="","",ROUND((C832-B832)*24,2))</f>
        <v>9.6</v>
      </c>
      <c r="L832" s="2" t="n">
        <f aca="false">INDEX('SLA Policy'!$B$2:$B$5,MATCH(E832,'SLA Policy'!$A$2:$A$5,0))</f>
        <v>24</v>
      </c>
      <c r="M832" s="2" t="str">
        <f aca="false">IF(K832="","Open",IF(K832&lt;=L832,"Yes","No"))</f>
        <v>Yes</v>
      </c>
    </row>
    <row r="833" customFormat="false" ht="15" hidden="false" customHeight="false" outlineLevel="0" collapsed="false">
      <c r="A833" s="2" t="s">
        <v>867</v>
      </c>
      <c r="B833" s="7" t="n">
        <v>46143.3638888889</v>
      </c>
      <c r="C833" s="7" t="n">
        <v>46144.775</v>
      </c>
      <c r="D833" s="2" t="s">
        <v>22</v>
      </c>
      <c r="E833" s="2" t="s">
        <v>35</v>
      </c>
      <c r="F833" s="2" t="s">
        <v>27</v>
      </c>
      <c r="G833" s="2" t="s">
        <v>25</v>
      </c>
      <c r="H833" s="2" t="n">
        <v>4</v>
      </c>
      <c r="I833" s="2" t="str">
        <f aca="false">IF(C833="","Open","Resolved")</f>
        <v>Resolved</v>
      </c>
      <c r="J833" s="2" t="str">
        <f aca="false">TEXT(B833,"yyyy-mm")</f>
        <v>2026-05</v>
      </c>
      <c r="K833" s="8" t="n">
        <f aca="false">IF(C833="","",ROUND((C833-B833)*24,2))</f>
        <v>33.87</v>
      </c>
      <c r="L833" s="2" t="n">
        <f aca="false">INDEX('SLA Policy'!$B$2:$B$5,MATCH(E833,'SLA Policy'!$A$2:$A$5,0))</f>
        <v>24</v>
      </c>
      <c r="M833" s="2" t="str">
        <f aca="false">IF(K833="","Open",IF(K833&lt;=L833,"Yes","No"))</f>
        <v>No</v>
      </c>
    </row>
    <row r="834" customFormat="false" ht="15" hidden="false" customHeight="false" outlineLevel="0" collapsed="false">
      <c r="A834" s="2" t="s">
        <v>868</v>
      </c>
      <c r="B834" s="7" t="n">
        <v>46143.4277777778</v>
      </c>
      <c r="C834" s="7" t="n">
        <v>46144.4215277778</v>
      </c>
      <c r="D834" s="2" t="s">
        <v>31</v>
      </c>
      <c r="E834" s="2" t="s">
        <v>35</v>
      </c>
      <c r="F834" s="2" t="s">
        <v>27</v>
      </c>
      <c r="G834" s="2" t="s">
        <v>33</v>
      </c>
      <c r="H834" s="2" t="n">
        <v>4</v>
      </c>
      <c r="I834" s="2" t="str">
        <f aca="false">IF(C834="","Open","Resolved")</f>
        <v>Resolved</v>
      </c>
      <c r="J834" s="2" t="str">
        <f aca="false">TEXT(B834,"yyyy-mm")</f>
        <v>2026-05</v>
      </c>
      <c r="K834" s="8" t="n">
        <f aca="false">IF(C834="","",ROUND((C834-B834)*24,2))</f>
        <v>23.85</v>
      </c>
      <c r="L834" s="2" t="n">
        <f aca="false">INDEX('SLA Policy'!$B$2:$B$5,MATCH(E834,'SLA Policy'!$A$2:$A$5,0))</f>
        <v>24</v>
      </c>
      <c r="M834" s="2" t="str">
        <f aca="false">IF(K834="","Open",IF(K834&lt;=L834,"Yes","No"))</f>
        <v>Yes</v>
      </c>
    </row>
    <row r="835" customFormat="false" ht="15" hidden="false" customHeight="false" outlineLevel="0" collapsed="false">
      <c r="A835" s="2" t="s">
        <v>869</v>
      </c>
      <c r="B835" s="7" t="n">
        <v>46143.4784722222</v>
      </c>
      <c r="C835" s="7" t="n">
        <v>46144.2868055556</v>
      </c>
      <c r="D835" s="2" t="s">
        <v>42</v>
      </c>
      <c r="E835" s="2" t="s">
        <v>35</v>
      </c>
      <c r="F835" s="2" t="s">
        <v>38</v>
      </c>
      <c r="G835" s="2" t="s">
        <v>29</v>
      </c>
      <c r="H835" s="2" t="n">
        <v>4</v>
      </c>
      <c r="I835" s="2" t="str">
        <f aca="false">IF(C835="","Open","Resolved")</f>
        <v>Resolved</v>
      </c>
      <c r="J835" s="2" t="str">
        <f aca="false">TEXT(B835,"yyyy-mm")</f>
        <v>2026-05</v>
      </c>
      <c r="K835" s="8" t="n">
        <f aca="false">IF(C835="","",ROUND((C835-B835)*24,2))</f>
        <v>19.4</v>
      </c>
      <c r="L835" s="2" t="n">
        <f aca="false">INDEX('SLA Policy'!$B$2:$B$5,MATCH(E835,'SLA Policy'!$A$2:$A$5,0))</f>
        <v>24</v>
      </c>
      <c r="M835" s="2" t="str">
        <f aca="false">IF(K835="","Open",IF(K835&lt;=L835,"Yes","No"))</f>
        <v>Yes</v>
      </c>
    </row>
    <row r="836" customFormat="false" ht="15" hidden="false" customHeight="false" outlineLevel="0" collapsed="false">
      <c r="A836" s="2" t="s">
        <v>870</v>
      </c>
      <c r="B836" s="7" t="n">
        <v>46143.5673611111</v>
      </c>
      <c r="C836" s="7" t="n">
        <v>46144.7875</v>
      </c>
      <c r="D836" s="2" t="s">
        <v>27</v>
      </c>
      <c r="E836" s="2" t="s">
        <v>35</v>
      </c>
      <c r="F836" s="2" t="s">
        <v>27</v>
      </c>
      <c r="G836" s="2" t="s">
        <v>29</v>
      </c>
      <c r="H836" s="2" t="n">
        <v>3</v>
      </c>
      <c r="I836" s="2" t="str">
        <f aca="false">IF(C836="","Open","Resolved")</f>
        <v>Resolved</v>
      </c>
      <c r="J836" s="2" t="str">
        <f aca="false">TEXT(B836,"yyyy-mm")</f>
        <v>2026-05</v>
      </c>
      <c r="K836" s="8" t="n">
        <f aca="false">IF(C836="","",ROUND((C836-B836)*24,2))</f>
        <v>29.28</v>
      </c>
      <c r="L836" s="2" t="n">
        <f aca="false">INDEX('SLA Policy'!$B$2:$B$5,MATCH(E836,'SLA Policy'!$A$2:$A$5,0))</f>
        <v>24</v>
      </c>
      <c r="M836" s="2" t="str">
        <f aca="false">IF(K836="","Open",IF(K836&lt;=L836,"Yes","No"))</f>
        <v>No</v>
      </c>
    </row>
    <row r="837" customFormat="false" ht="15" hidden="false" customHeight="false" outlineLevel="0" collapsed="false">
      <c r="A837" s="2" t="s">
        <v>871</v>
      </c>
      <c r="B837" s="7" t="n">
        <v>46143.6791666667</v>
      </c>
      <c r="C837" s="7" t="n">
        <v>46143.79375</v>
      </c>
      <c r="D837" s="2" t="s">
        <v>42</v>
      </c>
      <c r="E837" s="2" t="s">
        <v>23</v>
      </c>
      <c r="F837" s="2" t="s">
        <v>38</v>
      </c>
      <c r="G837" s="2" t="s">
        <v>29</v>
      </c>
      <c r="H837" s="2" t="n">
        <v>5</v>
      </c>
      <c r="I837" s="2" t="str">
        <f aca="false">IF(C837="","Open","Resolved")</f>
        <v>Resolved</v>
      </c>
      <c r="J837" s="2" t="str">
        <f aca="false">TEXT(B837,"yyyy-mm")</f>
        <v>2026-05</v>
      </c>
      <c r="K837" s="8" t="n">
        <f aca="false">IF(C837="","",ROUND((C837-B837)*24,2))</f>
        <v>2.75</v>
      </c>
      <c r="L837" s="2" t="n">
        <f aca="false">INDEX('SLA Policy'!$B$2:$B$5,MATCH(E837,'SLA Policy'!$A$2:$A$5,0))</f>
        <v>8</v>
      </c>
      <c r="M837" s="2" t="str">
        <f aca="false">IF(K837="","Open",IF(K837&lt;=L837,"Yes","No"))</f>
        <v>Yes</v>
      </c>
    </row>
    <row r="838" customFormat="false" ht="15" hidden="false" customHeight="false" outlineLevel="0" collapsed="false">
      <c r="A838" s="2" t="s">
        <v>872</v>
      </c>
      <c r="B838" s="7" t="n">
        <v>46144.4395833333</v>
      </c>
      <c r="C838" s="7" t="n">
        <v>46145.3173611111</v>
      </c>
      <c r="D838" s="2" t="s">
        <v>42</v>
      </c>
      <c r="E838" s="2" t="s">
        <v>35</v>
      </c>
      <c r="F838" s="2" t="s">
        <v>27</v>
      </c>
      <c r="G838" s="2" t="s">
        <v>29</v>
      </c>
      <c r="H838" s="2" t="n">
        <v>3</v>
      </c>
      <c r="I838" s="2" t="str">
        <f aca="false">IF(C838="","Open","Resolved")</f>
        <v>Resolved</v>
      </c>
      <c r="J838" s="2" t="str">
        <f aca="false">TEXT(B838,"yyyy-mm")</f>
        <v>2026-05</v>
      </c>
      <c r="K838" s="8" t="n">
        <f aca="false">IF(C838="","",ROUND((C838-B838)*24,2))</f>
        <v>21.07</v>
      </c>
      <c r="L838" s="2" t="n">
        <f aca="false">INDEX('SLA Policy'!$B$2:$B$5,MATCH(E838,'SLA Policy'!$A$2:$A$5,0))</f>
        <v>24</v>
      </c>
      <c r="M838" s="2" t="str">
        <f aca="false">IF(K838="","Open",IF(K838&lt;=L838,"Yes","No"))</f>
        <v>Yes</v>
      </c>
    </row>
    <row r="839" customFormat="false" ht="15" hidden="false" customHeight="false" outlineLevel="0" collapsed="false">
      <c r="A839" s="2" t="s">
        <v>873</v>
      </c>
      <c r="B839" s="7" t="n">
        <v>46145.6631944445</v>
      </c>
      <c r="C839" s="7" t="n">
        <v>46148.4368055556</v>
      </c>
      <c r="D839" s="2" t="s">
        <v>31</v>
      </c>
      <c r="E839" s="2" t="s">
        <v>32</v>
      </c>
      <c r="F839" s="2" t="s">
        <v>28</v>
      </c>
      <c r="G839" s="2" t="s">
        <v>33</v>
      </c>
      <c r="H839" s="2" t="n">
        <v>3</v>
      </c>
      <c r="I839" s="2" t="str">
        <f aca="false">IF(C839="","Open","Resolved")</f>
        <v>Resolved</v>
      </c>
      <c r="J839" s="2" t="str">
        <f aca="false">TEXT(B839,"yyyy-mm")</f>
        <v>2026-05</v>
      </c>
      <c r="K839" s="8" t="n">
        <f aca="false">IF(C839="","",ROUND((C839-B839)*24,2))</f>
        <v>66.57</v>
      </c>
      <c r="L839" s="2" t="n">
        <f aca="false">INDEX('SLA Policy'!$B$2:$B$5,MATCH(E839,'SLA Policy'!$A$2:$A$5,0))</f>
        <v>72</v>
      </c>
      <c r="M839" s="2" t="str">
        <f aca="false">IF(K839="","Open",IF(K839&lt;=L839,"Yes","No"))</f>
        <v>Yes</v>
      </c>
    </row>
    <row r="840" customFormat="false" ht="15" hidden="false" customHeight="false" outlineLevel="0" collapsed="false">
      <c r="A840" s="2" t="s">
        <v>874</v>
      </c>
      <c r="B840" s="7" t="n">
        <v>46145.6944444445</v>
      </c>
      <c r="C840" s="7" t="n">
        <v>46146.16875</v>
      </c>
      <c r="D840" s="2" t="s">
        <v>48</v>
      </c>
      <c r="E840" s="2" t="s">
        <v>23</v>
      </c>
      <c r="F840" s="2" t="s">
        <v>27</v>
      </c>
      <c r="G840" s="2" t="s">
        <v>25</v>
      </c>
      <c r="H840" s="2" t="n">
        <v>5</v>
      </c>
      <c r="I840" s="2" t="str">
        <f aca="false">IF(C840="","Open","Resolved")</f>
        <v>Resolved</v>
      </c>
      <c r="J840" s="2" t="str">
        <f aca="false">TEXT(B840,"yyyy-mm")</f>
        <v>2026-05</v>
      </c>
      <c r="K840" s="8" t="n">
        <f aca="false">IF(C840="","",ROUND((C840-B840)*24,2))</f>
        <v>11.38</v>
      </c>
      <c r="L840" s="2" t="n">
        <f aca="false">INDEX('SLA Policy'!$B$2:$B$5,MATCH(E840,'SLA Policy'!$A$2:$A$5,0))</f>
        <v>8</v>
      </c>
      <c r="M840" s="2" t="str">
        <f aca="false">IF(K840="","Open",IF(K840&lt;=L840,"Yes","No"))</f>
        <v>No</v>
      </c>
    </row>
    <row r="841" customFormat="false" ht="15" hidden="false" customHeight="false" outlineLevel="0" collapsed="false">
      <c r="A841" s="2" t="s">
        <v>875</v>
      </c>
      <c r="B841" s="7" t="n">
        <v>46146.3333333333</v>
      </c>
      <c r="C841" s="7" t="n">
        <v>46147.5048611111</v>
      </c>
      <c r="D841" s="2" t="s">
        <v>27</v>
      </c>
      <c r="E841" s="2" t="s">
        <v>32</v>
      </c>
      <c r="F841" s="2" t="s">
        <v>27</v>
      </c>
      <c r="G841" s="2" t="s">
        <v>29</v>
      </c>
      <c r="H841" s="2" t="n">
        <v>4</v>
      </c>
      <c r="I841" s="2" t="str">
        <f aca="false">IF(C841="","Open","Resolved")</f>
        <v>Resolved</v>
      </c>
      <c r="J841" s="2" t="str">
        <f aca="false">TEXT(B841,"yyyy-mm")</f>
        <v>2026-05</v>
      </c>
      <c r="K841" s="8" t="n">
        <f aca="false">IF(C841="","",ROUND((C841-B841)*24,2))</f>
        <v>28.12</v>
      </c>
      <c r="L841" s="2" t="n">
        <f aca="false">INDEX('SLA Policy'!$B$2:$B$5,MATCH(E841,'SLA Policy'!$A$2:$A$5,0))</f>
        <v>72</v>
      </c>
      <c r="M841" s="2" t="str">
        <f aca="false">IF(K841="","Open",IF(K841&lt;=L841,"Yes","No"))</f>
        <v>Yes</v>
      </c>
    </row>
    <row r="842" customFormat="false" ht="15" hidden="false" customHeight="false" outlineLevel="0" collapsed="false">
      <c r="A842" s="2" t="s">
        <v>876</v>
      </c>
      <c r="B842" s="7" t="n">
        <v>46146.3645833333</v>
      </c>
      <c r="C842" s="7" t="n">
        <v>46146.9493055556</v>
      </c>
      <c r="D842" s="2" t="s">
        <v>42</v>
      </c>
      <c r="E842" s="2" t="s">
        <v>35</v>
      </c>
      <c r="F842" s="2" t="s">
        <v>38</v>
      </c>
      <c r="G842" s="2" t="s">
        <v>29</v>
      </c>
      <c r="H842" s="2" t="n">
        <v>4</v>
      </c>
      <c r="I842" s="2" t="str">
        <f aca="false">IF(C842="","Open","Resolved")</f>
        <v>Resolved</v>
      </c>
      <c r="J842" s="2" t="str">
        <f aca="false">TEXT(B842,"yyyy-mm")</f>
        <v>2026-05</v>
      </c>
      <c r="K842" s="8" t="n">
        <f aca="false">IF(C842="","",ROUND((C842-B842)*24,2))</f>
        <v>14.03</v>
      </c>
      <c r="L842" s="2" t="n">
        <f aca="false">INDEX('SLA Policy'!$B$2:$B$5,MATCH(E842,'SLA Policy'!$A$2:$A$5,0))</f>
        <v>24</v>
      </c>
      <c r="M842" s="2" t="str">
        <f aca="false">IF(K842="","Open",IF(K842&lt;=L842,"Yes","No"))</f>
        <v>Yes</v>
      </c>
    </row>
    <row r="843" customFormat="false" ht="15" hidden="false" customHeight="false" outlineLevel="0" collapsed="false">
      <c r="A843" s="2" t="s">
        <v>877</v>
      </c>
      <c r="B843" s="7" t="n">
        <v>46146.44375</v>
      </c>
      <c r="C843" s="7" t="n">
        <v>46147.0965277778</v>
      </c>
      <c r="D843" s="2" t="s">
        <v>27</v>
      </c>
      <c r="E843" s="2" t="s">
        <v>35</v>
      </c>
      <c r="F843" s="2" t="s">
        <v>27</v>
      </c>
      <c r="G843" s="2" t="s">
        <v>29</v>
      </c>
      <c r="H843" s="2" t="n">
        <v>4</v>
      </c>
      <c r="I843" s="2" t="str">
        <f aca="false">IF(C843="","Open","Resolved")</f>
        <v>Resolved</v>
      </c>
      <c r="J843" s="2" t="str">
        <f aca="false">TEXT(B843,"yyyy-mm")</f>
        <v>2026-05</v>
      </c>
      <c r="K843" s="8" t="n">
        <f aca="false">IF(C843="","",ROUND((C843-B843)*24,2))</f>
        <v>15.67</v>
      </c>
      <c r="L843" s="2" t="n">
        <f aca="false">INDEX('SLA Policy'!$B$2:$B$5,MATCH(E843,'SLA Policy'!$A$2:$A$5,0))</f>
        <v>24</v>
      </c>
      <c r="M843" s="2" t="str">
        <f aca="false">IF(K843="","Open",IF(K843&lt;=L843,"Yes","No"))</f>
        <v>Yes</v>
      </c>
    </row>
    <row r="844" customFormat="false" ht="15" hidden="false" customHeight="false" outlineLevel="0" collapsed="false">
      <c r="A844" s="2" t="s">
        <v>878</v>
      </c>
      <c r="B844" s="7" t="n">
        <v>46146.5</v>
      </c>
      <c r="C844" s="7" t="n">
        <v>46148.0909722222</v>
      </c>
      <c r="D844" s="2" t="s">
        <v>48</v>
      </c>
      <c r="E844" s="2" t="s">
        <v>35</v>
      </c>
      <c r="F844" s="2" t="s">
        <v>27</v>
      </c>
      <c r="G844" s="2" t="s">
        <v>25</v>
      </c>
      <c r="H844" s="2" t="n">
        <v>3</v>
      </c>
      <c r="I844" s="2" t="str">
        <f aca="false">IF(C844="","Open","Resolved")</f>
        <v>Resolved</v>
      </c>
      <c r="J844" s="2" t="str">
        <f aca="false">TEXT(B844,"yyyy-mm")</f>
        <v>2026-05</v>
      </c>
      <c r="K844" s="8" t="n">
        <f aca="false">IF(C844="","",ROUND((C844-B844)*24,2))</f>
        <v>38.18</v>
      </c>
      <c r="L844" s="2" t="n">
        <f aca="false">INDEX('SLA Policy'!$B$2:$B$5,MATCH(E844,'SLA Policy'!$A$2:$A$5,0))</f>
        <v>24</v>
      </c>
      <c r="M844" s="2" t="str">
        <f aca="false">IF(K844="","Open",IF(K844&lt;=L844,"Yes","No"))</f>
        <v>No</v>
      </c>
    </row>
    <row r="845" customFormat="false" ht="15" hidden="false" customHeight="false" outlineLevel="0" collapsed="false">
      <c r="A845" s="2" t="s">
        <v>879</v>
      </c>
      <c r="B845" s="7" t="n">
        <v>46146.6076388889</v>
      </c>
      <c r="C845" s="7" t="n">
        <v>46146.9923611111</v>
      </c>
      <c r="D845" s="2" t="s">
        <v>42</v>
      </c>
      <c r="E845" s="2" t="s">
        <v>23</v>
      </c>
      <c r="F845" s="2" t="s">
        <v>24</v>
      </c>
      <c r="G845" s="2" t="s">
        <v>29</v>
      </c>
      <c r="H845" s="2" t="n">
        <v>3</v>
      </c>
      <c r="I845" s="2" t="str">
        <f aca="false">IF(C845="","Open","Resolved")</f>
        <v>Resolved</v>
      </c>
      <c r="J845" s="2" t="str">
        <f aca="false">TEXT(B845,"yyyy-mm")</f>
        <v>2026-05</v>
      </c>
      <c r="K845" s="8" t="n">
        <f aca="false">IF(C845="","",ROUND((C845-B845)*24,2))</f>
        <v>9.23</v>
      </c>
      <c r="L845" s="2" t="n">
        <f aca="false">INDEX('SLA Policy'!$B$2:$B$5,MATCH(E845,'SLA Policy'!$A$2:$A$5,0))</f>
        <v>8</v>
      </c>
      <c r="M845" s="2" t="str">
        <f aca="false">IF(K845="","Open",IF(K845&lt;=L845,"Yes","No"))</f>
        <v>No</v>
      </c>
    </row>
    <row r="846" customFormat="false" ht="15" hidden="false" customHeight="false" outlineLevel="0" collapsed="false">
      <c r="A846" s="2" t="s">
        <v>880</v>
      </c>
      <c r="B846" s="7" t="n">
        <v>46147.3375</v>
      </c>
      <c r="C846" s="7" t="n">
        <v>46147.6631944445</v>
      </c>
      <c r="D846" s="2" t="s">
        <v>22</v>
      </c>
      <c r="E846" s="2" t="s">
        <v>23</v>
      </c>
      <c r="F846" s="2" t="s">
        <v>24</v>
      </c>
      <c r="G846" s="2" t="s">
        <v>25</v>
      </c>
      <c r="H846" s="2" t="n">
        <v>5</v>
      </c>
      <c r="I846" s="2" t="str">
        <f aca="false">IF(C846="","Open","Resolved")</f>
        <v>Resolved</v>
      </c>
      <c r="J846" s="2" t="str">
        <f aca="false">TEXT(B846,"yyyy-mm")</f>
        <v>2026-05</v>
      </c>
      <c r="K846" s="8" t="n">
        <f aca="false">IF(C846="","",ROUND((C846-B846)*24,2))</f>
        <v>7.82</v>
      </c>
      <c r="L846" s="2" t="n">
        <f aca="false">INDEX('SLA Policy'!$B$2:$B$5,MATCH(E846,'SLA Policy'!$A$2:$A$5,0))</f>
        <v>8</v>
      </c>
      <c r="M846" s="2" t="str">
        <f aca="false">IF(K846="","Open",IF(K846&lt;=L846,"Yes","No"))</f>
        <v>Yes</v>
      </c>
    </row>
    <row r="847" customFormat="false" ht="15" hidden="false" customHeight="false" outlineLevel="0" collapsed="false">
      <c r="A847" s="2" t="s">
        <v>881</v>
      </c>
      <c r="B847" s="7" t="n">
        <v>46147.3486111111</v>
      </c>
      <c r="C847" s="7" t="n">
        <v>46147.6763888889</v>
      </c>
      <c r="D847" s="2" t="s">
        <v>31</v>
      </c>
      <c r="E847" s="2" t="s">
        <v>23</v>
      </c>
      <c r="F847" s="2" t="s">
        <v>27</v>
      </c>
      <c r="G847" s="2" t="s">
        <v>33</v>
      </c>
      <c r="H847" s="2" t="n">
        <v>4</v>
      </c>
      <c r="I847" s="2" t="str">
        <f aca="false">IF(C847="","Open","Resolved")</f>
        <v>Resolved</v>
      </c>
      <c r="J847" s="2" t="str">
        <f aca="false">TEXT(B847,"yyyy-mm")</f>
        <v>2026-05</v>
      </c>
      <c r="K847" s="8" t="n">
        <f aca="false">IF(C847="","",ROUND((C847-B847)*24,2))</f>
        <v>7.87</v>
      </c>
      <c r="L847" s="2" t="n">
        <f aca="false">INDEX('SLA Policy'!$B$2:$B$5,MATCH(E847,'SLA Policy'!$A$2:$A$5,0))</f>
        <v>8</v>
      </c>
      <c r="M847" s="2" t="str">
        <f aca="false">IF(K847="","Open",IF(K847&lt;=L847,"Yes","No"))</f>
        <v>Yes</v>
      </c>
    </row>
    <row r="848" customFormat="false" ht="15" hidden="false" customHeight="false" outlineLevel="0" collapsed="false">
      <c r="A848" s="2" t="s">
        <v>882</v>
      </c>
      <c r="B848" s="7" t="n">
        <v>46147.3541666667</v>
      </c>
      <c r="C848" s="7" t="n">
        <v>46148.2006944444</v>
      </c>
      <c r="D848" s="2" t="s">
        <v>22</v>
      </c>
      <c r="E848" s="2" t="s">
        <v>35</v>
      </c>
      <c r="F848" s="2" t="s">
        <v>28</v>
      </c>
      <c r="G848" s="2" t="s">
        <v>25</v>
      </c>
      <c r="H848" s="2" t="n">
        <v>3</v>
      </c>
      <c r="I848" s="2" t="str">
        <f aca="false">IF(C848="","Open","Resolved")</f>
        <v>Resolved</v>
      </c>
      <c r="J848" s="2" t="str">
        <f aca="false">TEXT(B848,"yyyy-mm")</f>
        <v>2026-05</v>
      </c>
      <c r="K848" s="8" t="n">
        <f aca="false">IF(C848="","",ROUND((C848-B848)*24,2))</f>
        <v>20.32</v>
      </c>
      <c r="L848" s="2" t="n">
        <f aca="false">INDEX('SLA Policy'!$B$2:$B$5,MATCH(E848,'SLA Policy'!$A$2:$A$5,0))</f>
        <v>24</v>
      </c>
      <c r="M848" s="2" t="str">
        <f aca="false">IF(K848="","Open",IF(K848&lt;=L848,"Yes","No"))</f>
        <v>Yes</v>
      </c>
    </row>
    <row r="849" customFormat="false" ht="15" hidden="false" customHeight="false" outlineLevel="0" collapsed="false">
      <c r="A849" s="2" t="s">
        <v>883</v>
      </c>
      <c r="B849" s="7" t="n">
        <v>46147.4291666667</v>
      </c>
      <c r="C849" s="7" t="n">
        <v>46147.5069444445</v>
      </c>
      <c r="D849" s="2" t="s">
        <v>42</v>
      </c>
      <c r="E849" s="2" t="s">
        <v>40</v>
      </c>
      <c r="F849" s="2" t="s">
        <v>27</v>
      </c>
      <c r="G849" s="2" t="s">
        <v>29</v>
      </c>
      <c r="H849" s="2" t="n">
        <v>4</v>
      </c>
      <c r="I849" s="2" t="str">
        <f aca="false">IF(C849="","Open","Resolved")</f>
        <v>Resolved</v>
      </c>
      <c r="J849" s="2" t="str">
        <f aca="false">TEXT(B849,"yyyy-mm")</f>
        <v>2026-05</v>
      </c>
      <c r="K849" s="8" t="n">
        <f aca="false">IF(C849="","",ROUND((C849-B849)*24,2))</f>
        <v>1.87</v>
      </c>
      <c r="L849" s="2" t="n">
        <f aca="false">INDEX('SLA Policy'!$B$2:$B$5,MATCH(E849,'SLA Policy'!$A$2:$A$5,0))</f>
        <v>4</v>
      </c>
      <c r="M849" s="2" t="str">
        <f aca="false">IF(K849="","Open",IF(K849&lt;=L849,"Yes","No"))</f>
        <v>Yes</v>
      </c>
    </row>
    <row r="850" customFormat="false" ht="15" hidden="false" customHeight="false" outlineLevel="0" collapsed="false">
      <c r="A850" s="2" t="s">
        <v>884</v>
      </c>
      <c r="B850" s="7" t="n">
        <v>46147.5826388889</v>
      </c>
      <c r="C850" s="7" t="n">
        <v>46149.69375</v>
      </c>
      <c r="D850" s="2" t="s">
        <v>31</v>
      </c>
      <c r="E850" s="2" t="s">
        <v>32</v>
      </c>
      <c r="F850" s="2" t="s">
        <v>24</v>
      </c>
      <c r="G850" s="2" t="s">
        <v>33</v>
      </c>
      <c r="H850" s="2" t="n">
        <v>3</v>
      </c>
      <c r="I850" s="2" t="str">
        <f aca="false">IF(C850="","Open","Resolved")</f>
        <v>Resolved</v>
      </c>
      <c r="J850" s="2" t="str">
        <f aca="false">TEXT(B850,"yyyy-mm")</f>
        <v>2026-05</v>
      </c>
      <c r="K850" s="8" t="n">
        <f aca="false">IF(C850="","",ROUND((C850-B850)*24,2))</f>
        <v>50.67</v>
      </c>
      <c r="L850" s="2" t="n">
        <f aca="false">INDEX('SLA Policy'!$B$2:$B$5,MATCH(E850,'SLA Policy'!$A$2:$A$5,0))</f>
        <v>72</v>
      </c>
      <c r="M850" s="2" t="str">
        <f aca="false">IF(K850="","Open",IF(K850&lt;=L850,"Yes","No"))</f>
        <v>Yes</v>
      </c>
    </row>
    <row r="851" customFormat="false" ht="15" hidden="false" customHeight="false" outlineLevel="0" collapsed="false">
      <c r="A851" s="2" t="s">
        <v>885</v>
      </c>
      <c r="B851" s="7" t="n">
        <v>46148.3791666667</v>
      </c>
      <c r="C851" s="7" t="n">
        <v>46148.5972222222</v>
      </c>
      <c r="D851" s="2" t="s">
        <v>42</v>
      </c>
      <c r="E851" s="2" t="s">
        <v>23</v>
      </c>
      <c r="F851" s="2" t="s">
        <v>38</v>
      </c>
      <c r="G851" s="2" t="s">
        <v>29</v>
      </c>
      <c r="H851" s="2" t="n">
        <v>4</v>
      </c>
      <c r="I851" s="2" t="str">
        <f aca="false">IF(C851="","Open","Resolved")</f>
        <v>Resolved</v>
      </c>
      <c r="J851" s="2" t="str">
        <f aca="false">TEXT(B851,"yyyy-mm")</f>
        <v>2026-05</v>
      </c>
      <c r="K851" s="8" t="n">
        <f aca="false">IF(C851="","",ROUND((C851-B851)*24,2))</f>
        <v>5.23</v>
      </c>
      <c r="L851" s="2" t="n">
        <f aca="false">INDEX('SLA Policy'!$B$2:$B$5,MATCH(E851,'SLA Policy'!$A$2:$A$5,0))</f>
        <v>8</v>
      </c>
      <c r="M851" s="2" t="str">
        <f aca="false">IF(K851="","Open",IF(K851&lt;=L851,"Yes","No"))</f>
        <v>Yes</v>
      </c>
    </row>
    <row r="852" customFormat="false" ht="15" hidden="false" customHeight="false" outlineLevel="0" collapsed="false">
      <c r="A852" s="2" t="s">
        <v>886</v>
      </c>
      <c r="B852" s="7" t="n">
        <v>46148.4104166667</v>
      </c>
      <c r="C852" s="7" t="n">
        <v>46149.0493055556</v>
      </c>
      <c r="D852" s="2" t="s">
        <v>42</v>
      </c>
      <c r="E852" s="2" t="s">
        <v>35</v>
      </c>
      <c r="F852" s="2" t="s">
        <v>27</v>
      </c>
      <c r="G852" s="2" t="s">
        <v>29</v>
      </c>
      <c r="H852" s="2" t="n">
        <v>4</v>
      </c>
      <c r="I852" s="2" t="str">
        <f aca="false">IF(C852="","Open","Resolved")</f>
        <v>Resolved</v>
      </c>
      <c r="J852" s="2" t="str">
        <f aca="false">TEXT(B852,"yyyy-mm")</f>
        <v>2026-05</v>
      </c>
      <c r="K852" s="8" t="n">
        <f aca="false">IF(C852="","",ROUND((C852-B852)*24,2))</f>
        <v>15.33</v>
      </c>
      <c r="L852" s="2" t="n">
        <f aca="false">INDEX('SLA Policy'!$B$2:$B$5,MATCH(E852,'SLA Policy'!$A$2:$A$5,0))</f>
        <v>24</v>
      </c>
      <c r="M852" s="2" t="str">
        <f aca="false">IF(K852="","Open",IF(K852&lt;=L852,"Yes","No"))</f>
        <v>Yes</v>
      </c>
    </row>
    <row r="853" customFormat="false" ht="15" hidden="false" customHeight="false" outlineLevel="0" collapsed="false">
      <c r="A853" s="2" t="s">
        <v>887</v>
      </c>
      <c r="B853" s="7" t="n">
        <v>46148.5520833333</v>
      </c>
      <c r="C853" s="7" t="n">
        <v>46148.9381944445</v>
      </c>
      <c r="D853" s="2" t="s">
        <v>31</v>
      </c>
      <c r="E853" s="2" t="s">
        <v>35</v>
      </c>
      <c r="F853" s="2" t="s">
        <v>27</v>
      </c>
      <c r="G853" s="2" t="s">
        <v>33</v>
      </c>
      <c r="H853" s="2" t="n">
        <v>5</v>
      </c>
      <c r="I853" s="2" t="str">
        <f aca="false">IF(C853="","Open","Resolved")</f>
        <v>Resolved</v>
      </c>
      <c r="J853" s="2" t="str">
        <f aca="false">TEXT(B853,"yyyy-mm")</f>
        <v>2026-05</v>
      </c>
      <c r="K853" s="8" t="n">
        <f aca="false">IF(C853="","",ROUND((C853-B853)*24,2))</f>
        <v>9.27</v>
      </c>
      <c r="L853" s="2" t="n">
        <f aca="false">INDEX('SLA Policy'!$B$2:$B$5,MATCH(E853,'SLA Policy'!$A$2:$A$5,0))</f>
        <v>24</v>
      </c>
      <c r="M853" s="2" t="str">
        <f aca="false">IF(K853="","Open",IF(K853&lt;=L853,"Yes","No"))</f>
        <v>Yes</v>
      </c>
    </row>
    <row r="854" customFormat="false" ht="15" hidden="false" customHeight="false" outlineLevel="0" collapsed="false">
      <c r="A854" s="2" t="s">
        <v>888</v>
      </c>
      <c r="B854" s="7" t="n">
        <v>46148.6784722222</v>
      </c>
      <c r="C854" s="7" t="n">
        <v>46149.9104166667</v>
      </c>
      <c r="D854" s="2" t="s">
        <v>48</v>
      </c>
      <c r="E854" s="2" t="s">
        <v>35</v>
      </c>
      <c r="F854" s="2" t="s">
        <v>27</v>
      </c>
      <c r="G854" s="2" t="s">
        <v>25</v>
      </c>
      <c r="H854" s="2" t="n">
        <v>3</v>
      </c>
      <c r="I854" s="2" t="str">
        <f aca="false">IF(C854="","Open","Resolved")</f>
        <v>Resolved</v>
      </c>
      <c r="J854" s="2" t="str">
        <f aca="false">TEXT(B854,"yyyy-mm")</f>
        <v>2026-05</v>
      </c>
      <c r="K854" s="8" t="n">
        <f aca="false">IF(C854="","",ROUND((C854-B854)*24,2))</f>
        <v>29.57</v>
      </c>
      <c r="L854" s="2" t="n">
        <f aca="false">INDEX('SLA Policy'!$B$2:$B$5,MATCH(E854,'SLA Policy'!$A$2:$A$5,0))</f>
        <v>24</v>
      </c>
      <c r="M854" s="2" t="str">
        <f aca="false">IF(K854="","Open",IF(K854&lt;=L854,"Yes","No"))</f>
        <v>No</v>
      </c>
    </row>
    <row r="855" customFormat="false" ht="15" hidden="false" customHeight="false" outlineLevel="0" collapsed="false">
      <c r="A855" s="2" t="s">
        <v>889</v>
      </c>
      <c r="B855" s="7" t="n">
        <v>46148.7527777778</v>
      </c>
      <c r="C855" s="7" t="n">
        <v>46150.9895833333</v>
      </c>
      <c r="D855" s="2" t="s">
        <v>22</v>
      </c>
      <c r="E855" s="2" t="s">
        <v>35</v>
      </c>
      <c r="F855" s="2" t="s">
        <v>24</v>
      </c>
      <c r="G855" s="2" t="s">
        <v>25</v>
      </c>
      <c r="H855" s="2" t="n">
        <v>4</v>
      </c>
      <c r="I855" s="2" t="str">
        <f aca="false">IF(C855="","Open","Resolved")</f>
        <v>Resolved</v>
      </c>
      <c r="J855" s="2" t="str">
        <f aca="false">TEXT(B855,"yyyy-mm")</f>
        <v>2026-05</v>
      </c>
      <c r="K855" s="8" t="n">
        <f aca="false">IF(C855="","",ROUND((C855-B855)*24,2))</f>
        <v>53.68</v>
      </c>
      <c r="L855" s="2" t="n">
        <f aca="false">INDEX('SLA Policy'!$B$2:$B$5,MATCH(E855,'SLA Policy'!$A$2:$A$5,0))</f>
        <v>24</v>
      </c>
      <c r="M855" s="2" t="str">
        <f aca="false">IF(K855="","Open",IF(K855&lt;=L855,"Yes","No"))</f>
        <v>No</v>
      </c>
    </row>
    <row r="856" customFormat="false" ht="15" hidden="false" customHeight="false" outlineLevel="0" collapsed="false">
      <c r="A856" s="2" t="s">
        <v>890</v>
      </c>
      <c r="B856" s="7" t="n">
        <v>46148.7548611111</v>
      </c>
      <c r="C856" s="7" t="n">
        <v>46148.9444444445</v>
      </c>
      <c r="D856" s="2" t="s">
        <v>42</v>
      </c>
      <c r="E856" s="2" t="s">
        <v>23</v>
      </c>
      <c r="F856" s="2" t="s">
        <v>27</v>
      </c>
      <c r="G856" s="2" t="s">
        <v>29</v>
      </c>
      <c r="H856" s="2" t="n">
        <v>5</v>
      </c>
      <c r="I856" s="2" t="str">
        <f aca="false">IF(C856="","Open","Resolved")</f>
        <v>Resolved</v>
      </c>
      <c r="J856" s="2" t="str">
        <f aca="false">TEXT(B856,"yyyy-mm")</f>
        <v>2026-05</v>
      </c>
      <c r="K856" s="8" t="n">
        <f aca="false">IF(C856="","",ROUND((C856-B856)*24,2))</f>
        <v>4.55</v>
      </c>
      <c r="L856" s="2" t="n">
        <f aca="false">INDEX('SLA Policy'!$B$2:$B$5,MATCH(E856,'SLA Policy'!$A$2:$A$5,0))</f>
        <v>8</v>
      </c>
      <c r="M856" s="2" t="str">
        <f aca="false">IF(K856="","Open",IF(K856&lt;=L856,"Yes","No"))</f>
        <v>Yes</v>
      </c>
    </row>
    <row r="857" customFormat="false" ht="15" hidden="false" customHeight="false" outlineLevel="0" collapsed="false">
      <c r="A857" s="2" t="s">
        <v>891</v>
      </c>
      <c r="B857" s="7" t="n">
        <v>46149.2944444444</v>
      </c>
      <c r="C857" s="7" t="n">
        <v>46150.2881944445</v>
      </c>
      <c r="D857" s="2" t="s">
        <v>31</v>
      </c>
      <c r="E857" s="2" t="s">
        <v>35</v>
      </c>
      <c r="F857" s="2" t="s">
        <v>27</v>
      </c>
      <c r="G857" s="2" t="s">
        <v>33</v>
      </c>
      <c r="H857" s="2" t="n">
        <v>3</v>
      </c>
      <c r="I857" s="2" t="str">
        <f aca="false">IF(C857="","Open","Resolved")</f>
        <v>Resolved</v>
      </c>
      <c r="J857" s="2" t="str">
        <f aca="false">TEXT(B857,"yyyy-mm")</f>
        <v>2026-05</v>
      </c>
      <c r="K857" s="8" t="n">
        <f aca="false">IF(C857="","",ROUND((C857-B857)*24,2))</f>
        <v>23.85</v>
      </c>
      <c r="L857" s="2" t="n">
        <f aca="false">INDEX('SLA Policy'!$B$2:$B$5,MATCH(E857,'SLA Policy'!$A$2:$A$5,0))</f>
        <v>24</v>
      </c>
      <c r="M857" s="2" t="str">
        <f aca="false">IF(K857="","Open",IF(K857&lt;=L857,"Yes","No"))</f>
        <v>Yes</v>
      </c>
    </row>
    <row r="858" customFormat="false" ht="15" hidden="false" customHeight="false" outlineLevel="0" collapsed="false">
      <c r="A858" s="2" t="s">
        <v>892</v>
      </c>
      <c r="B858" s="7" t="n">
        <v>46149.2979166667</v>
      </c>
      <c r="C858" s="7" t="n">
        <v>46149.8708333333</v>
      </c>
      <c r="D858" s="2" t="s">
        <v>22</v>
      </c>
      <c r="E858" s="2" t="s">
        <v>35</v>
      </c>
      <c r="F858" s="2" t="s">
        <v>38</v>
      </c>
      <c r="G858" s="2" t="s">
        <v>25</v>
      </c>
      <c r="H858" s="2" t="n">
        <v>5</v>
      </c>
      <c r="I858" s="2" t="str">
        <f aca="false">IF(C858="","Open","Resolved")</f>
        <v>Resolved</v>
      </c>
      <c r="J858" s="2" t="str">
        <f aca="false">TEXT(B858,"yyyy-mm")</f>
        <v>2026-05</v>
      </c>
      <c r="K858" s="8" t="n">
        <f aca="false">IF(C858="","",ROUND((C858-B858)*24,2))</f>
        <v>13.75</v>
      </c>
      <c r="L858" s="2" t="n">
        <f aca="false">INDEX('SLA Policy'!$B$2:$B$5,MATCH(E858,'SLA Policy'!$A$2:$A$5,0))</f>
        <v>24</v>
      </c>
      <c r="M858" s="2" t="str">
        <f aca="false">IF(K858="","Open",IF(K858&lt;=L858,"Yes","No"))</f>
        <v>Yes</v>
      </c>
    </row>
    <row r="859" customFormat="false" ht="15" hidden="false" customHeight="false" outlineLevel="0" collapsed="false">
      <c r="A859" s="2" t="s">
        <v>893</v>
      </c>
      <c r="B859" s="7" t="n">
        <v>46149.3944444444</v>
      </c>
      <c r="C859" s="7" t="n">
        <v>46149.5736111111</v>
      </c>
      <c r="D859" s="2" t="s">
        <v>48</v>
      </c>
      <c r="E859" s="2" t="s">
        <v>40</v>
      </c>
      <c r="F859" s="2" t="s">
        <v>27</v>
      </c>
      <c r="G859" s="2" t="s">
        <v>25</v>
      </c>
      <c r="H859" s="2" t="n">
        <v>5</v>
      </c>
      <c r="I859" s="2" t="str">
        <f aca="false">IF(C859="","Open","Resolved")</f>
        <v>Resolved</v>
      </c>
      <c r="J859" s="2" t="str">
        <f aca="false">TEXT(B859,"yyyy-mm")</f>
        <v>2026-05</v>
      </c>
      <c r="K859" s="8" t="n">
        <f aca="false">IF(C859="","",ROUND((C859-B859)*24,2))</f>
        <v>4.3</v>
      </c>
      <c r="L859" s="2" t="n">
        <f aca="false">INDEX('SLA Policy'!$B$2:$B$5,MATCH(E859,'SLA Policy'!$A$2:$A$5,0))</f>
        <v>4</v>
      </c>
      <c r="M859" s="2" t="str">
        <f aca="false">IF(K859="","Open",IF(K859&lt;=L859,"Yes","No"))</f>
        <v>No</v>
      </c>
    </row>
    <row r="860" customFormat="false" ht="15" hidden="false" customHeight="false" outlineLevel="0" collapsed="false">
      <c r="A860" s="2" t="s">
        <v>894</v>
      </c>
      <c r="B860" s="7" t="n">
        <v>46149.5138888889</v>
      </c>
      <c r="C860" s="7" t="n">
        <v>46149.55</v>
      </c>
      <c r="D860" s="2" t="s">
        <v>42</v>
      </c>
      <c r="E860" s="2" t="s">
        <v>40</v>
      </c>
      <c r="F860" s="2" t="s">
        <v>28</v>
      </c>
      <c r="G860" s="2" t="s">
        <v>29</v>
      </c>
      <c r="H860" s="2" t="n">
        <v>5</v>
      </c>
      <c r="I860" s="2" t="str">
        <f aca="false">IF(C860="","Open","Resolved")</f>
        <v>Resolved</v>
      </c>
      <c r="J860" s="2" t="str">
        <f aca="false">TEXT(B860,"yyyy-mm")</f>
        <v>2026-05</v>
      </c>
      <c r="K860" s="8" t="n">
        <f aca="false">IF(C860="","",ROUND((C860-B860)*24,2))</f>
        <v>0.87</v>
      </c>
      <c r="L860" s="2" t="n">
        <f aca="false">INDEX('SLA Policy'!$B$2:$B$5,MATCH(E860,'SLA Policy'!$A$2:$A$5,0))</f>
        <v>4</v>
      </c>
      <c r="M860" s="2" t="str">
        <f aca="false">IF(K860="","Open",IF(K860&lt;=L860,"Yes","No"))</f>
        <v>Yes</v>
      </c>
    </row>
    <row r="861" customFormat="false" ht="15" hidden="false" customHeight="false" outlineLevel="0" collapsed="false">
      <c r="A861" s="2" t="s">
        <v>895</v>
      </c>
      <c r="B861" s="7" t="n">
        <v>46149.5659722222</v>
      </c>
      <c r="C861" s="7" t="n">
        <v>46150.0722222222</v>
      </c>
      <c r="D861" s="2" t="s">
        <v>22</v>
      </c>
      <c r="E861" s="2" t="s">
        <v>23</v>
      </c>
      <c r="F861" s="2" t="s">
        <v>38</v>
      </c>
      <c r="G861" s="2" t="s">
        <v>25</v>
      </c>
      <c r="H861" s="2" t="n">
        <v>4</v>
      </c>
      <c r="I861" s="2" t="str">
        <f aca="false">IF(C861="","Open","Resolved")</f>
        <v>Resolved</v>
      </c>
      <c r="J861" s="2" t="str">
        <f aca="false">TEXT(B861,"yyyy-mm")</f>
        <v>2026-05</v>
      </c>
      <c r="K861" s="8" t="n">
        <f aca="false">IF(C861="","",ROUND((C861-B861)*24,2))</f>
        <v>12.15</v>
      </c>
      <c r="L861" s="2" t="n">
        <f aca="false">INDEX('SLA Policy'!$B$2:$B$5,MATCH(E861,'SLA Policy'!$A$2:$A$5,0))</f>
        <v>8</v>
      </c>
      <c r="M861" s="2" t="str">
        <f aca="false">IF(K861="","Open",IF(K861&lt;=L861,"Yes","No"))</f>
        <v>No</v>
      </c>
    </row>
    <row r="862" customFormat="false" ht="15" hidden="false" customHeight="false" outlineLevel="0" collapsed="false">
      <c r="A862" s="2" t="s">
        <v>896</v>
      </c>
      <c r="B862" s="7" t="n">
        <v>46149.6194444444</v>
      </c>
      <c r="C862" s="7" t="n">
        <v>46150.2930555556</v>
      </c>
      <c r="D862" s="2" t="s">
        <v>48</v>
      </c>
      <c r="E862" s="2" t="s">
        <v>23</v>
      </c>
      <c r="F862" s="2" t="s">
        <v>27</v>
      </c>
      <c r="G862" s="2" t="s">
        <v>25</v>
      </c>
      <c r="H862" s="2" t="n">
        <v>4</v>
      </c>
      <c r="I862" s="2" t="str">
        <f aca="false">IF(C862="","Open","Resolved")</f>
        <v>Resolved</v>
      </c>
      <c r="J862" s="2" t="str">
        <f aca="false">TEXT(B862,"yyyy-mm")</f>
        <v>2026-05</v>
      </c>
      <c r="K862" s="8" t="n">
        <f aca="false">IF(C862="","",ROUND((C862-B862)*24,2))</f>
        <v>16.17</v>
      </c>
      <c r="L862" s="2" t="n">
        <f aca="false">INDEX('SLA Policy'!$B$2:$B$5,MATCH(E862,'SLA Policy'!$A$2:$A$5,0))</f>
        <v>8</v>
      </c>
      <c r="M862" s="2" t="str">
        <f aca="false">IF(K862="","Open",IF(K862&lt;=L862,"Yes","No"))</f>
        <v>No</v>
      </c>
    </row>
    <row r="863" customFormat="false" ht="15" hidden="false" customHeight="false" outlineLevel="0" collapsed="false">
      <c r="A863" s="2" t="s">
        <v>897</v>
      </c>
      <c r="B863" s="7" t="n">
        <v>46149.7604166667</v>
      </c>
      <c r="C863" s="7" t="n">
        <v>46150.2125</v>
      </c>
      <c r="D863" s="2" t="s">
        <v>22</v>
      </c>
      <c r="E863" s="2" t="s">
        <v>23</v>
      </c>
      <c r="F863" s="2" t="s">
        <v>38</v>
      </c>
      <c r="G863" s="2" t="s">
        <v>25</v>
      </c>
      <c r="H863" s="2" t="n">
        <v>4</v>
      </c>
      <c r="I863" s="2" t="str">
        <f aca="false">IF(C863="","Open","Resolved")</f>
        <v>Resolved</v>
      </c>
      <c r="J863" s="2" t="str">
        <f aca="false">TEXT(B863,"yyyy-mm")</f>
        <v>2026-05</v>
      </c>
      <c r="K863" s="8" t="n">
        <f aca="false">IF(C863="","",ROUND((C863-B863)*24,2))</f>
        <v>10.85</v>
      </c>
      <c r="L863" s="2" t="n">
        <f aca="false">INDEX('SLA Policy'!$B$2:$B$5,MATCH(E863,'SLA Policy'!$A$2:$A$5,0))</f>
        <v>8</v>
      </c>
      <c r="M863" s="2" t="str">
        <f aca="false">IF(K863="","Open",IF(K863&lt;=L863,"Yes","No"))</f>
        <v>No</v>
      </c>
    </row>
    <row r="864" customFormat="false" ht="15" hidden="false" customHeight="false" outlineLevel="0" collapsed="false">
      <c r="A864" s="2" t="s">
        <v>898</v>
      </c>
      <c r="B864" s="7" t="n">
        <v>46150.3993055556</v>
      </c>
      <c r="C864" s="7" t="n">
        <v>46154.7638888889</v>
      </c>
      <c r="D864" s="2" t="s">
        <v>22</v>
      </c>
      <c r="E864" s="2" t="s">
        <v>32</v>
      </c>
      <c r="F864" s="2" t="s">
        <v>27</v>
      </c>
      <c r="G864" s="2" t="s">
        <v>25</v>
      </c>
      <c r="H864" s="2" t="n">
        <v>1</v>
      </c>
      <c r="I864" s="2" t="str">
        <f aca="false">IF(C864="","Open","Resolved")</f>
        <v>Resolved</v>
      </c>
      <c r="J864" s="2" t="str">
        <f aca="false">TEXT(B864,"yyyy-mm")</f>
        <v>2026-05</v>
      </c>
      <c r="K864" s="8" t="n">
        <f aca="false">IF(C864="","",ROUND((C864-B864)*24,2))</f>
        <v>104.75</v>
      </c>
      <c r="L864" s="2" t="n">
        <f aca="false">INDEX('SLA Policy'!$B$2:$B$5,MATCH(E864,'SLA Policy'!$A$2:$A$5,0))</f>
        <v>72</v>
      </c>
      <c r="M864" s="2" t="str">
        <f aca="false">IF(K864="","Open",IF(K864&lt;=L864,"Yes","No"))</f>
        <v>No</v>
      </c>
    </row>
    <row r="865" customFormat="false" ht="15" hidden="false" customHeight="false" outlineLevel="0" collapsed="false">
      <c r="A865" s="2" t="s">
        <v>899</v>
      </c>
      <c r="B865" s="7" t="n">
        <v>46150.5409722222</v>
      </c>
      <c r="C865" s="7" t="n">
        <v>46150.8701388889</v>
      </c>
      <c r="D865" s="2" t="s">
        <v>42</v>
      </c>
      <c r="E865" s="2" t="s">
        <v>35</v>
      </c>
      <c r="F865" s="2" t="s">
        <v>27</v>
      </c>
      <c r="G865" s="2" t="s">
        <v>29</v>
      </c>
      <c r="H865" s="2" t="n">
        <v>5</v>
      </c>
      <c r="I865" s="2" t="str">
        <f aca="false">IF(C865="","Open","Resolved")</f>
        <v>Resolved</v>
      </c>
      <c r="J865" s="2" t="str">
        <f aca="false">TEXT(B865,"yyyy-mm")</f>
        <v>2026-05</v>
      </c>
      <c r="K865" s="8" t="n">
        <f aca="false">IF(C865="","",ROUND((C865-B865)*24,2))</f>
        <v>7.9</v>
      </c>
      <c r="L865" s="2" t="n">
        <f aca="false">INDEX('SLA Policy'!$B$2:$B$5,MATCH(E865,'SLA Policy'!$A$2:$A$5,0))</f>
        <v>24</v>
      </c>
      <c r="M865" s="2" t="str">
        <f aca="false">IF(K865="","Open",IF(K865&lt;=L865,"Yes","No"))</f>
        <v>Yes</v>
      </c>
    </row>
    <row r="866" customFormat="false" ht="15" hidden="false" customHeight="false" outlineLevel="0" collapsed="false">
      <c r="A866" s="2" t="s">
        <v>900</v>
      </c>
      <c r="B866" s="7" t="n">
        <v>46150.5451388889</v>
      </c>
      <c r="C866" s="7" t="n">
        <v>46151.6166666667</v>
      </c>
      <c r="D866" s="2" t="s">
        <v>31</v>
      </c>
      <c r="E866" s="2" t="s">
        <v>35</v>
      </c>
      <c r="F866" s="2" t="s">
        <v>28</v>
      </c>
      <c r="G866" s="2" t="s">
        <v>33</v>
      </c>
      <c r="H866" s="2" t="n">
        <v>4</v>
      </c>
      <c r="I866" s="2" t="str">
        <f aca="false">IF(C866="","Open","Resolved")</f>
        <v>Resolved</v>
      </c>
      <c r="J866" s="2" t="str">
        <f aca="false">TEXT(B866,"yyyy-mm")</f>
        <v>2026-05</v>
      </c>
      <c r="K866" s="8" t="n">
        <f aca="false">IF(C866="","",ROUND((C866-B866)*24,2))</f>
        <v>25.72</v>
      </c>
      <c r="L866" s="2" t="n">
        <f aca="false">INDEX('SLA Policy'!$B$2:$B$5,MATCH(E866,'SLA Policy'!$A$2:$A$5,0))</f>
        <v>24</v>
      </c>
      <c r="M866" s="2" t="str">
        <f aca="false">IF(K866="","Open",IF(K866&lt;=L866,"Yes","No"))</f>
        <v>No</v>
      </c>
    </row>
    <row r="867" customFormat="false" ht="15" hidden="false" customHeight="false" outlineLevel="0" collapsed="false">
      <c r="A867" s="2" t="s">
        <v>901</v>
      </c>
      <c r="B867" s="7" t="n">
        <v>46150.5923611111</v>
      </c>
      <c r="C867" s="7" t="n">
        <v>46150.7743055556</v>
      </c>
      <c r="D867" s="2" t="s">
        <v>22</v>
      </c>
      <c r="E867" s="2" t="s">
        <v>23</v>
      </c>
      <c r="F867" s="2" t="s">
        <v>27</v>
      </c>
      <c r="G867" s="2" t="s">
        <v>25</v>
      </c>
      <c r="H867" s="2" t="n">
        <v>4</v>
      </c>
      <c r="I867" s="2" t="str">
        <f aca="false">IF(C867="","Open","Resolved")</f>
        <v>Resolved</v>
      </c>
      <c r="J867" s="2" t="str">
        <f aca="false">TEXT(B867,"yyyy-mm")</f>
        <v>2026-05</v>
      </c>
      <c r="K867" s="8" t="n">
        <f aca="false">IF(C867="","",ROUND((C867-B867)*24,2))</f>
        <v>4.37</v>
      </c>
      <c r="L867" s="2" t="n">
        <f aca="false">INDEX('SLA Policy'!$B$2:$B$5,MATCH(E867,'SLA Policy'!$A$2:$A$5,0))</f>
        <v>8</v>
      </c>
      <c r="M867" s="2" t="str">
        <f aca="false">IF(K867="","Open",IF(K867&lt;=L867,"Yes","No"))</f>
        <v>Yes</v>
      </c>
    </row>
    <row r="868" customFormat="false" ht="15" hidden="false" customHeight="false" outlineLevel="0" collapsed="false">
      <c r="A868" s="2" t="s">
        <v>902</v>
      </c>
      <c r="B868" s="7" t="n">
        <v>46150.60625</v>
      </c>
      <c r="C868" s="7" t="n">
        <v>46151.7215277778</v>
      </c>
      <c r="D868" s="2" t="s">
        <v>31</v>
      </c>
      <c r="E868" s="2" t="s">
        <v>32</v>
      </c>
      <c r="F868" s="2" t="s">
        <v>24</v>
      </c>
      <c r="G868" s="2" t="s">
        <v>33</v>
      </c>
      <c r="H868" s="2" t="n">
        <v>5</v>
      </c>
      <c r="I868" s="2" t="str">
        <f aca="false">IF(C868="","Open","Resolved")</f>
        <v>Resolved</v>
      </c>
      <c r="J868" s="2" t="str">
        <f aca="false">TEXT(B868,"yyyy-mm")</f>
        <v>2026-05</v>
      </c>
      <c r="K868" s="8" t="n">
        <f aca="false">IF(C868="","",ROUND((C868-B868)*24,2))</f>
        <v>26.77</v>
      </c>
      <c r="L868" s="2" t="n">
        <f aca="false">INDEX('SLA Policy'!$B$2:$B$5,MATCH(E868,'SLA Policy'!$A$2:$A$5,0))</f>
        <v>72</v>
      </c>
      <c r="M868" s="2" t="str">
        <f aca="false">IF(K868="","Open",IF(K868&lt;=L868,"Yes","No"))</f>
        <v>Yes</v>
      </c>
    </row>
    <row r="869" customFormat="false" ht="15" hidden="false" customHeight="false" outlineLevel="0" collapsed="false">
      <c r="A869" s="2" t="s">
        <v>903</v>
      </c>
      <c r="B869" s="7" t="n">
        <v>46150.6979166667</v>
      </c>
      <c r="C869" s="7" t="n">
        <v>46151.7513888889</v>
      </c>
      <c r="D869" s="2" t="s">
        <v>31</v>
      </c>
      <c r="E869" s="2" t="s">
        <v>35</v>
      </c>
      <c r="F869" s="2" t="s">
        <v>24</v>
      </c>
      <c r="G869" s="2" t="s">
        <v>33</v>
      </c>
      <c r="H869" s="2" t="n">
        <v>3</v>
      </c>
      <c r="I869" s="2" t="str">
        <f aca="false">IF(C869="","Open","Resolved")</f>
        <v>Resolved</v>
      </c>
      <c r="J869" s="2" t="str">
        <f aca="false">TEXT(B869,"yyyy-mm")</f>
        <v>2026-05</v>
      </c>
      <c r="K869" s="8" t="n">
        <f aca="false">IF(C869="","",ROUND((C869-B869)*24,2))</f>
        <v>25.28</v>
      </c>
      <c r="L869" s="2" t="n">
        <f aca="false">INDEX('SLA Policy'!$B$2:$B$5,MATCH(E869,'SLA Policy'!$A$2:$A$5,0))</f>
        <v>24</v>
      </c>
      <c r="M869" s="2" t="str">
        <f aca="false">IF(K869="","Open",IF(K869&lt;=L869,"Yes","No"))</f>
        <v>No</v>
      </c>
    </row>
    <row r="870" customFormat="false" ht="15" hidden="false" customHeight="false" outlineLevel="0" collapsed="false">
      <c r="A870" s="2" t="s">
        <v>904</v>
      </c>
      <c r="B870" s="7" t="n">
        <v>46150.7395833333</v>
      </c>
      <c r="C870" s="7" t="n">
        <v>46151.1354166667</v>
      </c>
      <c r="D870" s="2" t="s">
        <v>22</v>
      </c>
      <c r="E870" s="2" t="s">
        <v>40</v>
      </c>
      <c r="F870" s="2" t="s">
        <v>38</v>
      </c>
      <c r="G870" s="2" t="s">
        <v>25</v>
      </c>
      <c r="H870" s="2" t="n">
        <v>5</v>
      </c>
      <c r="I870" s="2" t="str">
        <f aca="false">IF(C870="","Open","Resolved")</f>
        <v>Resolved</v>
      </c>
      <c r="J870" s="2" t="str">
        <f aca="false">TEXT(B870,"yyyy-mm")</f>
        <v>2026-05</v>
      </c>
      <c r="K870" s="8" t="n">
        <f aca="false">IF(C870="","",ROUND((C870-B870)*24,2))</f>
        <v>9.5</v>
      </c>
      <c r="L870" s="2" t="n">
        <f aca="false">INDEX('SLA Policy'!$B$2:$B$5,MATCH(E870,'SLA Policy'!$A$2:$A$5,0))</f>
        <v>4</v>
      </c>
      <c r="M870" s="2" t="str">
        <f aca="false">IF(K870="","Open",IF(K870&lt;=L870,"Yes","No"))</f>
        <v>No</v>
      </c>
    </row>
    <row r="871" customFormat="false" ht="15" hidden="false" customHeight="false" outlineLevel="0" collapsed="false">
      <c r="A871" s="2" t="s">
        <v>905</v>
      </c>
      <c r="B871" s="7" t="n">
        <v>46150.7729166667</v>
      </c>
      <c r="C871" s="7" t="n">
        <v>46151.5875</v>
      </c>
      <c r="D871" s="2" t="s">
        <v>31</v>
      </c>
      <c r="E871" s="2" t="s">
        <v>35</v>
      </c>
      <c r="F871" s="2" t="s">
        <v>28</v>
      </c>
      <c r="G871" s="2" t="s">
        <v>33</v>
      </c>
      <c r="H871" s="2" t="n">
        <v>4</v>
      </c>
      <c r="I871" s="2" t="str">
        <f aca="false">IF(C871="","Open","Resolved")</f>
        <v>Resolved</v>
      </c>
      <c r="J871" s="2" t="str">
        <f aca="false">TEXT(B871,"yyyy-mm")</f>
        <v>2026-05</v>
      </c>
      <c r="K871" s="8" t="n">
        <f aca="false">IF(C871="","",ROUND((C871-B871)*24,2))</f>
        <v>19.55</v>
      </c>
      <c r="L871" s="2" t="n">
        <f aca="false">INDEX('SLA Policy'!$B$2:$B$5,MATCH(E871,'SLA Policy'!$A$2:$A$5,0))</f>
        <v>24</v>
      </c>
      <c r="M871" s="2" t="str">
        <f aca="false">IF(K871="","Open",IF(K871&lt;=L871,"Yes","No"))</f>
        <v>Yes</v>
      </c>
    </row>
    <row r="872" customFormat="false" ht="15" hidden="false" customHeight="false" outlineLevel="0" collapsed="false">
      <c r="A872" s="2" t="s">
        <v>906</v>
      </c>
      <c r="B872" s="7" t="n">
        <v>46150.7791666667</v>
      </c>
      <c r="C872" s="7" t="n">
        <v>46152.1138888889</v>
      </c>
      <c r="D872" s="2" t="s">
        <v>22</v>
      </c>
      <c r="E872" s="2" t="s">
        <v>35</v>
      </c>
      <c r="F872" s="2" t="s">
        <v>38</v>
      </c>
      <c r="G872" s="2" t="s">
        <v>25</v>
      </c>
      <c r="H872" s="2" t="n">
        <v>5</v>
      </c>
      <c r="I872" s="2" t="str">
        <f aca="false">IF(C872="","Open","Resolved")</f>
        <v>Resolved</v>
      </c>
      <c r="J872" s="2" t="str">
        <f aca="false">TEXT(B872,"yyyy-mm")</f>
        <v>2026-05</v>
      </c>
      <c r="K872" s="8" t="n">
        <f aca="false">IF(C872="","",ROUND((C872-B872)*24,2))</f>
        <v>32.03</v>
      </c>
      <c r="L872" s="2" t="n">
        <f aca="false">INDEX('SLA Policy'!$B$2:$B$5,MATCH(E872,'SLA Policy'!$A$2:$A$5,0))</f>
        <v>24</v>
      </c>
      <c r="M872" s="2" t="str">
        <f aca="false">IF(K872="","Open",IF(K872&lt;=L872,"Yes","No"))</f>
        <v>No</v>
      </c>
    </row>
    <row r="873" customFormat="false" ht="15" hidden="false" customHeight="false" outlineLevel="0" collapsed="false">
      <c r="A873" s="2" t="s">
        <v>907</v>
      </c>
      <c r="B873" s="7" t="n">
        <v>46151.4722222222</v>
      </c>
      <c r="C873" s="7" t="n">
        <v>46151.6708333333</v>
      </c>
      <c r="D873" s="2" t="s">
        <v>31</v>
      </c>
      <c r="E873" s="2" t="s">
        <v>23</v>
      </c>
      <c r="F873" s="2" t="s">
        <v>27</v>
      </c>
      <c r="G873" s="2" t="s">
        <v>33</v>
      </c>
      <c r="H873" s="2" t="n">
        <v>5</v>
      </c>
      <c r="I873" s="2" t="str">
        <f aca="false">IF(C873="","Open","Resolved")</f>
        <v>Resolved</v>
      </c>
      <c r="J873" s="2" t="str">
        <f aca="false">TEXT(B873,"yyyy-mm")</f>
        <v>2026-05</v>
      </c>
      <c r="K873" s="8" t="n">
        <f aca="false">IF(C873="","",ROUND((C873-B873)*24,2))</f>
        <v>4.77</v>
      </c>
      <c r="L873" s="2" t="n">
        <f aca="false">INDEX('SLA Policy'!$B$2:$B$5,MATCH(E873,'SLA Policy'!$A$2:$A$5,0))</f>
        <v>8</v>
      </c>
      <c r="M873" s="2" t="str">
        <f aca="false">IF(K873="","Open",IF(K873&lt;=L873,"Yes","No"))</f>
        <v>Yes</v>
      </c>
    </row>
    <row r="874" customFormat="false" ht="15" hidden="false" customHeight="false" outlineLevel="0" collapsed="false">
      <c r="A874" s="2" t="s">
        <v>908</v>
      </c>
      <c r="B874" s="7" t="n">
        <v>46151.6277777778</v>
      </c>
      <c r="C874" s="7" t="n">
        <v>46155.65625</v>
      </c>
      <c r="D874" s="2" t="s">
        <v>48</v>
      </c>
      <c r="E874" s="2" t="s">
        <v>35</v>
      </c>
      <c r="F874" s="2" t="s">
        <v>27</v>
      </c>
      <c r="G874" s="2" t="s">
        <v>25</v>
      </c>
      <c r="H874" s="2" t="n">
        <v>1</v>
      </c>
      <c r="I874" s="2" t="str">
        <f aca="false">IF(C874="","Open","Resolved")</f>
        <v>Resolved</v>
      </c>
      <c r="J874" s="2" t="str">
        <f aca="false">TEXT(B874,"yyyy-mm")</f>
        <v>2026-05</v>
      </c>
      <c r="K874" s="8" t="n">
        <f aca="false">IF(C874="","",ROUND((C874-B874)*24,2))</f>
        <v>96.68</v>
      </c>
      <c r="L874" s="2" t="n">
        <f aca="false">INDEX('SLA Policy'!$B$2:$B$5,MATCH(E874,'SLA Policy'!$A$2:$A$5,0))</f>
        <v>24</v>
      </c>
      <c r="M874" s="2" t="str">
        <f aca="false">IF(K874="","Open",IF(K874&lt;=L874,"Yes","No"))</f>
        <v>No</v>
      </c>
    </row>
    <row r="875" customFormat="false" ht="15" hidden="false" customHeight="false" outlineLevel="0" collapsed="false">
      <c r="A875" s="2" t="s">
        <v>909</v>
      </c>
      <c r="B875" s="7" t="n">
        <v>46151.6979166667</v>
      </c>
      <c r="C875" s="7" t="n">
        <v>46152.6722222222</v>
      </c>
      <c r="D875" s="2" t="s">
        <v>27</v>
      </c>
      <c r="E875" s="2" t="s">
        <v>35</v>
      </c>
      <c r="F875" s="2" t="s">
        <v>24</v>
      </c>
      <c r="G875" s="2" t="s">
        <v>29</v>
      </c>
      <c r="H875" s="2" t="n">
        <v>3</v>
      </c>
      <c r="I875" s="2" t="str">
        <f aca="false">IF(C875="","Open","Resolved")</f>
        <v>Resolved</v>
      </c>
      <c r="J875" s="2" t="str">
        <f aca="false">TEXT(B875,"yyyy-mm")</f>
        <v>2026-05</v>
      </c>
      <c r="K875" s="8" t="n">
        <f aca="false">IF(C875="","",ROUND((C875-B875)*24,2))</f>
        <v>23.38</v>
      </c>
      <c r="L875" s="2" t="n">
        <f aca="false">INDEX('SLA Policy'!$B$2:$B$5,MATCH(E875,'SLA Policy'!$A$2:$A$5,0))</f>
        <v>24</v>
      </c>
      <c r="M875" s="2" t="str">
        <f aca="false">IF(K875="","Open",IF(K875&lt;=L875,"Yes","No"))</f>
        <v>Yes</v>
      </c>
    </row>
    <row r="876" customFormat="false" ht="15" hidden="false" customHeight="false" outlineLevel="0" collapsed="false">
      <c r="A876" s="2" t="s">
        <v>910</v>
      </c>
      <c r="B876" s="7" t="n">
        <v>46151.7652777778</v>
      </c>
      <c r="C876" s="7" t="n">
        <v>46152.7527777778</v>
      </c>
      <c r="D876" s="2" t="s">
        <v>42</v>
      </c>
      <c r="E876" s="2" t="s">
        <v>35</v>
      </c>
      <c r="F876" s="2" t="s">
        <v>38</v>
      </c>
      <c r="G876" s="2" t="s">
        <v>29</v>
      </c>
      <c r="H876" s="2" t="n">
        <v>4</v>
      </c>
      <c r="I876" s="2" t="str">
        <f aca="false">IF(C876="","Open","Resolved")</f>
        <v>Resolved</v>
      </c>
      <c r="J876" s="2" t="str">
        <f aca="false">TEXT(B876,"yyyy-mm")</f>
        <v>2026-05</v>
      </c>
      <c r="K876" s="8" t="n">
        <f aca="false">IF(C876="","",ROUND((C876-B876)*24,2))</f>
        <v>23.7</v>
      </c>
      <c r="L876" s="2" t="n">
        <f aca="false">INDEX('SLA Policy'!$B$2:$B$5,MATCH(E876,'SLA Policy'!$A$2:$A$5,0))</f>
        <v>24</v>
      </c>
      <c r="M876" s="2" t="str">
        <f aca="false">IF(K876="","Open",IF(K876&lt;=L876,"Yes","No"))</f>
        <v>Yes</v>
      </c>
    </row>
    <row r="877" customFormat="false" ht="15" hidden="false" customHeight="false" outlineLevel="0" collapsed="false">
      <c r="A877" s="2" t="s">
        <v>911</v>
      </c>
      <c r="B877" s="7" t="n">
        <v>46153.3215277778</v>
      </c>
      <c r="C877" s="7" t="n">
        <v>46153.3388888889</v>
      </c>
      <c r="D877" s="2" t="s">
        <v>42</v>
      </c>
      <c r="E877" s="2" t="s">
        <v>40</v>
      </c>
      <c r="F877" s="2" t="s">
        <v>24</v>
      </c>
      <c r="G877" s="2" t="s">
        <v>29</v>
      </c>
      <c r="H877" s="2" t="n">
        <v>5</v>
      </c>
      <c r="I877" s="2" t="str">
        <f aca="false">IF(C877="","Open","Resolved")</f>
        <v>Resolved</v>
      </c>
      <c r="J877" s="2" t="str">
        <f aca="false">TEXT(B877,"yyyy-mm")</f>
        <v>2026-05</v>
      </c>
      <c r="K877" s="8" t="n">
        <f aca="false">IF(C877="","",ROUND((C877-B877)*24,2))</f>
        <v>0.42</v>
      </c>
      <c r="L877" s="2" t="n">
        <f aca="false">INDEX('SLA Policy'!$B$2:$B$5,MATCH(E877,'SLA Policy'!$A$2:$A$5,0))</f>
        <v>4</v>
      </c>
      <c r="M877" s="2" t="str">
        <f aca="false">IF(K877="","Open",IF(K877&lt;=L877,"Yes","No"))</f>
        <v>Yes</v>
      </c>
    </row>
    <row r="878" customFormat="false" ht="15" hidden="false" customHeight="false" outlineLevel="0" collapsed="false">
      <c r="A878" s="2" t="s">
        <v>912</v>
      </c>
      <c r="B878" s="7" t="n">
        <v>46153.35</v>
      </c>
      <c r="C878" s="7" t="n">
        <v>46153.7819444445</v>
      </c>
      <c r="D878" s="2" t="s">
        <v>27</v>
      </c>
      <c r="E878" s="2" t="s">
        <v>35</v>
      </c>
      <c r="F878" s="2" t="s">
        <v>24</v>
      </c>
      <c r="G878" s="2" t="s">
        <v>29</v>
      </c>
      <c r="H878" s="2" t="n">
        <v>5</v>
      </c>
      <c r="I878" s="2" t="str">
        <f aca="false">IF(C878="","Open","Resolved")</f>
        <v>Resolved</v>
      </c>
      <c r="J878" s="2" t="str">
        <f aca="false">TEXT(B878,"yyyy-mm")</f>
        <v>2026-05</v>
      </c>
      <c r="K878" s="8" t="n">
        <f aca="false">IF(C878="","",ROUND((C878-B878)*24,2))</f>
        <v>10.37</v>
      </c>
      <c r="L878" s="2" t="n">
        <f aca="false">INDEX('SLA Policy'!$B$2:$B$5,MATCH(E878,'SLA Policy'!$A$2:$A$5,0))</f>
        <v>24</v>
      </c>
      <c r="M878" s="2" t="str">
        <f aca="false">IF(K878="","Open",IF(K878&lt;=L878,"Yes","No"))</f>
        <v>Yes</v>
      </c>
    </row>
    <row r="879" customFormat="false" ht="15" hidden="false" customHeight="false" outlineLevel="0" collapsed="false">
      <c r="A879" s="2" t="s">
        <v>913</v>
      </c>
      <c r="B879" s="7" t="n">
        <v>46153.3520833333</v>
      </c>
      <c r="C879" s="7" t="n">
        <v>46154.5673611111</v>
      </c>
      <c r="D879" s="2" t="s">
        <v>42</v>
      </c>
      <c r="E879" s="2" t="s">
        <v>35</v>
      </c>
      <c r="F879" s="2" t="s">
        <v>38</v>
      </c>
      <c r="G879" s="2" t="s">
        <v>29</v>
      </c>
      <c r="H879" s="2" t="n">
        <v>3</v>
      </c>
      <c r="I879" s="2" t="str">
        <f aca="false">IF(C879="","Open","Resolved")</f>
        <v>Resolved</v>
      </c>
      <c r="J879" s="2" t="str">
        <f aca="false">TEXT(B879,"yyyy-mm")</f>
        <v>2026-05</v>
      </c>
      <c r="K879" s="8" t="n">
        <f aca="false">IF(C879="","",ROUND((C879-B879)*24,2))</f>
        <v>29.17</v>
      </c>
      <c r="L879" s="2" t="n">
        <f aca="false">INDEX('SLA Policy'!$B$2:$B$5,MATCH(E879,'SLA Policy'!$A$2:$A$5,0))</f>
        <v>24</v>
      </c>
      <c r="M879" s="2" t="str">
        <f aca="false">IF(K879="","Open",IF(K879&lt;=L879,"Yes","No"))</f>
        <v>No</v>
      </c>
    </row>
    <row r="880" customFormat="false" ht="15" hidden="false" customHeight="false" outlineLevel="0" collapsed="false">
      <c r="A880" s="2" t="s">
        <v>914</v>
      </c>
      <c r="B880" s="7" t="n">
        <v>46153.3875</v>
      </c>
      <c r="C880" s="7" t="n">
        <v>46154.1451388889</v>
      </c>
      <c r="D880" s="2" t="s">
        <v>31</v>
      </c>
      <c r="E880" s="2" t="s">
        <v>35</v>
      </c>
      <c r="F880" s="2" t="s">
        <v>28</v>
      </c>
      <c r="G880" s="2" t="s">
        <v>33</v>
      </c>
      <c r="H880" s="2" t="n">
        <v>4</v>
      </c>
      <c r="I880" s="2" t="str">
        <f aca="false">IF(C880="","Open","Resolved")</f>
        <v>Resolved</v>
      </c>
      <c r="J880" s="2" t="str">
        <f aca="false">TEXT(B880,"yyyy-mm")</f>
        <v>2026-05</v>
      </c>
      <c r="K880" s="8" t="n">
        <f aca="false">IF(C880="","",ROUND((C880-B880)*24,2))</f>
        <v>18.18</v>
      </c>
      <c r="L880" s="2" t="n">
        <f aca="false">INDEX('SLA Policy'!$B$2:$B$5,MATCH(E880,'SLA Policy'!$A$2:$A$5,0))</f>
        <v>24</v>
      </c>
      <c r="M880" s="2" t="str">
        <f aca="false">IF(K880="","Open",IF(K880&lt;=L880,"Yes","No"))</f>
        <v>Yes</v>
      </c>
    </row>
    <row r="881" customFormat="false" ht="15" hidden="false" customHeight="false" outlineLevel="0" collapsed="false">
      <c r="A881" s="2" t="s">
        <v>915</v>
      </c>
      <c r="B881" s="7" t="n">
        <v>46153.3930555556</v>
      </c>
      <c r="C881" s="7" t="n">
        <v>46154.7270833333</v>
      </c>
      <c r="D881" s="2" t="s">
        <v>22</v>
      </c>
      <c r="E881" s="2" t="s">
        <v>32</v>
      </c>
      <c r="F881" s="2" t="s">
        <v>27</v>
      </c>
      <c r="G881" s="2" t="s">
        <v>25</v>
      </c>
      <c r="H881" s="2" t="n">
        <v>4</v>
      </c>
      <c r="I881" s="2" t="str">
        <f aca="false">IF(C881="","Open","Resolved")</f>
        <v>Resolved</v>
      </c>
      <c r="J881" s="2" t="str">
        <f aca="false">TEXT(B881,"yyyy-mm")</f>
        <v>2026-05</v>
      </c>
      <c r="K881" s="8" t="n">
        <f aca="false">IF(C881="","",ROUND((C881-B881)*24,2))</f>
        <v>32.02</v>
      </c>
      <c r="L881" s="2" t="n">
        <f aca="false">INDEX('SLA Policy'!$B$2:$B$5,MATCH(E881,'SLA Policy'!$A$2:$A$5,0))</f>
        <v>72</v>
      </c>
      <c r="M881" s="2" t="str">
        <f aca="false">IF(K881="","Open",IF(K881&lt;=L881,"Yes","No"))</f>
        <v>Yes</v>
      </c>
    </row>
    <row r="882" customFormat="false" ht="15" hidden="false" customHeight="false" outlineLevel="0" collapsed="false">
      <c r="A882" s="2" t="s">
        <v>916</v>
      </c>
      <c r="B882" s="7" t="n">
        <v>46153.5041666667</v>
      </c>
      <c r="C882" s="7" t="n">
        <v>46156.4902777778</v>
      </c>
      <c r="D882" s="2" t="s">
        <v>22</v>
      </c>
      <c r="E882" s="2" t="s">
        <v>35</v>
      </c>
      <c r="F882" s="2" t="s">
        <v>27</v>
      </c>
      <c r="G882" s="2" t="s">
        <v>25</v>
      </c>
      <c r="H882" s="2" t="n">
        <v>3</v>
      </c>
      <c r="I882" s="2" t="str">
        <f aca="false">IF(C882="","Open","Resolved")</f>
        <v>Resolved</v>
      </c>
      <c r="J882" s="2" t="str">
        <f aca="false">TEXT(B882,"yyyy-mm")</f>
        <v>2026-05</v>
      </c>
      <c r="K882" s="8" t="n">
        <f aca="false">IF(C882="","",ROUND((C882-B882)*24,2))</f>
        <v>71.67</v>
      </c>
      <c r="L882" s="2" t="n">
        <f aca="false">INDEX('SLA Policy'!$B$2:$B$5,MATCH(E882,'SLA Policy'!$A$2:$A$5,0))</f>
        <v>24</v>
      </c>
      <c r="M882" s="2" t="str">
        <f aca="false">IF(K882="","Open",IF(K882&lt;=L882,"Yes","No"))</f>
        <v>No</v>
      </c>
    </row>
    <row r="883" customFormat="false" ht="15" hidden="false" customHeight="false" outlineLevel="0" collapsed="false">
      <c r="A883" s="2" t="s">
        <v>917</v>
      </c>
      <c r="B883" s="7" t="n">
        <v>46153.5708333333</v>
      </c>
      <c r="C883" s="7" t="n">
        <v>46153.9694444445</v>
      </c>
      <c r="D883" s="2" t="s">
        <v>27</v>
      </c>
      <c r="E883" s="2" t="s">
        <v>35</v>
      </c>
      <c r="F883" s="2" t="s">
        <v>28</v>
      </c>
      <c r="G883" s="2" t="s">
        <v>29</v>
      </c>
      <c r="H883" s="2" t="n">
        <v>5</v>
      </c>
      <c r="I883" s="2" t="str">
        <f aca="false">IF(C883="","Open","Resolved")</f>
        <v>Resolved</v>
      </c>
      <c r="J883" s="2" t="str">
        <f aca="false">TEXT(B883,"yyyy-mm")</f>
        <v>2026-05</v>
      </c>
      <c r="K883" s="8" t="n">
        <f aca="false">IF(C883="","",ROUND((C883-B883)*24,2))</f>
        <v>9.57</v>
      </c>
      <c r="L883" s="2" t="n">
        <f aca="false">INDEX('SLA Policy'!$B$2:$B$5,MATCH(E883,'SLA Policy'!$A$2:$A$5,0))</f>
        <v>24</v>
      </c>
      <c r="M883" s="2" t="str">
        <f aca="false">IF(K883="","Open",IF(K883&lt;=L883,"Yes","No"))</f>
        <v>Yes</v>
      </c>
    </row>
    <row r="884" customFormat="false" ht="15" hidden="false" customHeight="false" outlineLevel="0" collapsed="false">
      <c r="A884" s="2" t="s">
        <v>918</v>
      </c>
      <c r="B884" s="7" t="n">
        <v>46153.7548611111</v>
      </c>
      <c r="C884" s="7" t="n">
        <v>46154.2909722222</v>
      </c>
      <c r="D884" s="2" t="s">
        <v>42</v>
      </c>
      <c r="E884" s="2" t="s">
        <v>32</v>
      </c>
      <c r="F884" s="2" t="s">
        <v>24</v>
      </c>
      <c r="G884" s="2" t="s">
        <v>29</v>
      </c>
      <c r="H884" s="2" t="n">
        <v>5</v>
      </c>
      <c r="I884" s="2" t="str">
        <f aca="false">IF(C884="","Open","Resolved")</f>
        <v>Resolved</v>
      </c>
      <c r="J884" s="2" t="str">
        <f aca="false">TEXT(B884,"yyyy-mm")</f>
        <v>2026-05</v>
      </c>
      <c r="K884" s="8" t="n">
        <f aca="false">IF(C884="","",ROUND((C884-B884)*24,2))</f>
        <v>12.87</v>
      </c>
      <c r="L884" s="2" t="n">
        <f aca="false">INDEX('SLA Policy'!$B$2:$B$5,MATCH(E884,'SLA Policy'!$A$2:$A$5,0))</f>
        <v>72</v>
      </c>
      <c r="M884" s="2" t="str">
        <f aca="false">IF(K884="","Open",IF(K884&lt;=L884,"Yes","No"))</f>
        <v>Yes</v>
      </c>
    </row>
    <row r="885" customFormat="false" ht="15" hidden="false" customHeight="false" outlineLevel="0" collapsed="false">
      <c r="A885" s="2" t="s">
        <v>919</v>
      </c>
      <c r="B885" s="7" t="n">
        <v>46153.75625</v>
      </c>
      <c r="C885" s="7" t="n">
        <v>46153.9715277778</v>
      </c>
      <c r="D885" s="2" t="s">
        <v>27</v>
      </c>
      <c r="E885" s="2" t="s">
        <v>35</v>
      </c>
      <c r="F885" s="2" t="s">
        <v>27</v>
      </c>
      <c r="G885" s="2" t="s">
        <v>29</v>
      </c>
      <c r="H885" s="2" t="n">
        <v>5</v>
      </c>
      <c r="I885" s="2" t="str">
        <f aca="false">IF(C885="","Open","Resolved")</f>
        <v>Resolved</v>
      </c>
      <c r="J885" s="2" t="str">
        <f aca="false">TEXT(B885,"yyyy-mm")</f>
        <v>2026-05</v>
      </c>
      <c r="K885" s="8" t="n">
        <f aca="false">IF(C885="","",ROUND((C885-B885)*24,2))</f>
        <v>5.17</v>
      </c>
      <c r="L885" s="2" t="n">
        <f aca="false">INDEX('SLA Policy'!$B$2:$B$5,MATCH(E885,'SLA Policy'!$A$2:$A$5,0))</f>
        <v>24</v>
      </c>
      <c r="M885" s="2" t="str">
        <f aca="false">IF(K885="","Open",IF(K885&lt;=L885,"Yes","No"))</f>
        <v>Yes</v>
      </c>
    </row>
    <row r="886" customFormat="false" ht="15" hidden="false" customHeight="false" outlineLevel="0" collapsed="false">
      <c r="A886" s="2" t="s">
        <v>920</v>
      </c>
      <c r="B886" s="7" t="n">
        <v>46153.7902777778</v>
      </c>
      <c r="C886" s="7" t="n">
        <v>46154.7756944444</v>
      </c>
      <c r="D886" s="2" t="s">
        <v>31</v>
      </c>
      <c r="E886" s="2" t="s">
        <v>32</v>
      </c>
      <c r="F886" s="2" t="s">
        <v>24</v>
      </c>
      <c r="G886" s="2" t="s">
        <v>33</v>
      </c>
      <c r="H886" s="2" t="n">
        <v>4</v>
      </c>
      <c r="I886" s="2" t="str">
        <f aca="false">IF(C886="","Open","Resolved")</f>
        <v>Resolved</v>
      </c>
      <c r="J886" s="2" t="str">
        <f aca="false">TEXT(B886,"yyyy-mm")</f>
        <v>2026-05</v>
      </c>
      <c r="K886" s="8" t="n">
        <f aca="false">IF(C886="","",ROUND((C886-B886)*24,2))</f>
        <v>23.65</v>
      </c>
      <c r="L886" s="2" t="n">
        <f aca="false">INDEX('SLA Policy'!$B$2:$B$5,MATCH(E886,'SLA Policy'!$A$2:$A$5,0))</f>
        <v>72</v>
      </c>
      <c r="M886" s="2" t="str">
        <f aca="false">IF(K886="","Open",IF(K886&lt;=L886,"Yes","No"))</f>
        <v>Yes</v>
      </c>
    </row>
    <row r="887" customFormat="false" ht="15" hidden="false" customHeight="false" outlineLevel="0" collapsed="false">
      <c r="A887" s="2" t="s">
        <v>921</v>
      </c>
      <c r="B887" s="7" t="n">
        <v>46154.3875</v>
      </c>
      <c r="C887" s="7" t="n">
        <v>46157.8638888889</v>
      </c>
      <c r="D887" s="2" t="s">
        <v>48</v>
      </c>
      <c r="E887" s="2" t="s">
        <v>32</v>
      </c>
      <c r="F887" s="2" t="s">
        <v>27</v>
      </c>
      <c r="G887" s="2" t="s">
        <v>25</v>
      </c>
      <c r="H887" s="2" t="n">
        <v>2</v>
      </c>
      <c r="I887" s="2" t="str">
        <f aca="false">IF(C887="","Open","Resolved")</f>
        <v>Resolved</v>
      </c>
      <c r="J887" s="2" t="str">
        <f aca="false">TEXT(B887,"yyyy-mm")</f>
        <v>2026-05</v>
      </c>
      <c r="K887" s="8" t="n">
        <f aca="false">IF(C887="","",ROUND((C887-B887)*24,2))</f>
        <v>83.43</v>
      </c>
      <c r="L887" s="2" t="n">
        <f aca="false">INDEX('SLA Policy'!$B$2:$B$5,MATCH(E887,'SLA Policy'!$A$2:$A$5,0))</f>
        <v>72</v>
      </c>
      <c r="M887" s="2" t="str">
        <f aca="false">IF(K887="","Open",IF(K887&lt;=L887,"Yes","No"))</f>
        <v>No</v>
      </c>
    </row>
    <row r="888" customFormat="false" ht="15" hidden="false" customHeight="false" outlineLevel="0" collapsed="false">
      <c r="A888" s="2" t="s">
        <v>922</v>
      </c>
      <c r="B888" s="7" t="n">
        <v>46154.40625</v>
      </c>
      <c r="C888" s="7" t="n">
        <v>46156.9916666667</v>
      </c>
      <c r="D888" s="2" t="s">
        <v>48</v>
      </c>
      <c r="E888" s="2" t="s">
        <v>35</v>
      </c>
      <c r="F888" s="2" t="s">
        <v>24</v>
      </c>
      <c r="G888" s="2" t="s">
        <v>25</v>
      </c>
      <c r="H888" s="2" t="n">
        <v>3</v>
      </c>
      <c r="I888" s="2" t="str">
        <f aca="false">IF(C888="","Open","Resolved")</f>
        <v>Resolved</v>
      </c>
      <c r="J888" s="2" t="str">
        <f aca="false">TEXT(B888,"yyyy-mm")</f>
        <v>2026-05</v>
      </c>
      <c r="K888" s="8" t="n">
        <f aca="false">IF(C888="","",ROUND((C888-B888)*24,2))</f>
        <v>62.05</v>
      </c>
      <c r="L888" s="2" t="n">
        <f aca="false">INDEX('SLA Policy'!$B$2:$B$5,MATCH(E888,'SLA Policy'!$A$2:$A$5,0))</f>
        <v>24</v>
      </c>
      <c r="M888" s="2" t="str">
        <f aca="false">IF(K888="","Open",IF(K888&lt;=L888,"Yes","No"))</f>
        <v>No</v>
      </c>
    </row>
    <row r="889" customFormat="false" ht="15" hidden="false" customHeight="false" outlineLevel="0" collapsed="false">
      <c r="A889" s="2" t="s">
        <v>923</v>
      </c>
      <c r="B889" s="7" t="n">
        <v>46154.4576388889</v>
      </c>
      <c r="C889" s="7" t="n">
        <v>46156.4631944444</v>
      </c>
      <c r="D889" s="2" t="s">
        <v>31</v>
      </c>
      <c r="E889" s="2" t="s">
        <v>32</v>
      </c>
      <c r="F889" s="2" t="s">
        <v>24</v>
      </c>
      <c r="G889" s="2" t="s">
        <v>33</v>
      </c>
      <c r="H889" s="2" t="n">
        <v>3</v>
      </c>
      <c r="I889" s="2" t="str">
        <f aca="false">IF(C889="","Open","Resolved")</f>
        <v>Resolved</v>
      </c>
      <c r="J889" s="2" t="str">
        <f aca="false">TEXT(B889,"yyyy-mm")</f>
        <v>2026-05</v>
      </c>
      <c r="K889" s="8" t="n">
        <f aca="false">IF(C889="","",ROUND((C889-B889)*24,2))</f>
        <v>48.13</v>
      </c>
      <c r="L889" s="2" t="n">
        <f aca="false">INDEX('SLA Policy'!$B$2:$B$5,MATCH(E889,'SLA Policy'!$A$2:$A$5,0))</f>
        <v>72</v>
      </c>
      <c r="M889" s="2" t="str">
        <f aca="false">IF(K889="","Open",IF(K889&lt;=L889,"Yes","No"))</f>
        <v>Yes</v>
      </c>
    </row>
    <row r="890" customFormat="false" ht="15" hidden="false" customHeight="false" outlineLevel="0" collapsed="false">
      <c r="A890" s="2" t="s">
        <v>924</v>
      </c>
      <c r="B890" s="7" t="n">
        <v>46154.4895833333</v>
      </c>
      <c r="C890" s="7" t="n">
        <v>46154.6840277778</v>
      </c>
      <c r="D890" s="2" t="s">
        <v>48</v>
      </c>
      <c r="E890" s="2" t="s">
        <v>40</v>
      </c>
      <c r="F890" s="2" t="s">
        <v>27</v>
      </c>
      <c r="G890" s="2" t="s">
        <v>25</v>
      </c>
      <c r="H890" s="2" t="n">
        <v>5</v>
      </c>
      <c r="I890" s="2" t="str">
        <f aca="false">IF(C890="","Open","Resolved")</f>
        <v>Resolved</v>
      </c>
      <c r="J890" s="2" t="str">
        <f aca="false">TEXT(B890,"yyyy-mm")</f>
        <v>2026-05</v>
      </c>
      <c r="K890" s="8" t="n">
        <f aca="false">IF(C890="","",ROUND((C890-B890)*24,2))</f>
        <v>4.67</v>
      </c>
      <c r="L890" s="2" t="n">
        <f aca="false">INDEX('SLA Policy'!$B$2:$B$5,MATCH(E890,'SLA Policy'!$A$2:$A$5,0))</f>
        <v>4</v>
      </c>
      <c r="M890" s="2" t="str">
        <f aca="false">IF(K890="","Open",IF(K890&lt;=L890,"Yes","No"))</f>
        <v>No</v>
      </c>
    </row>
    <row r="891" customFormat="false" ht="15" hidden="false" customHeight="false" outlineLevel="0" collapsed="false">
      <c r="A891" s="2" t="s">
        <v>925</v>
      </c>
      <c r="B891" s="7" t="n">
        <v>46154.5430555556</v>
      </c>
      <c r="C891" s="7" t="n">
        <v>46154.8013888889</v>
      </c>
      <c r="D891" s="2" t="s">
        <v>42</v>
      </c>
      <c r="E891" s="2" t="s">
        <v>35</v>
      </c>
      <c r="F891" s="2" t="s">
        <v>27</v>
      </c>
      <c r="G891" s="2" t="s">
        <v>29</v>
      </c>
      <c r="H891" s="2" t="n">
        <v>5</v>
      </c>
      <c r="I891" s="2" t="str">
        <f aca="false">IF(C891="","Open","Resolved")</f>
        <v>Resolved</v>
      </c>
      <c r="J891" s="2" t="str">
        <f aca="false">TEXT(B891,"yyyy-mm")</f>
        <v>2026-05</v>
      </c>
      <c r="K891" s="8" t="n">
        <f aca="false">IF(C891="","",ROUND((C891-B891)*24,2))</f>
        <v>6.2</v>
      </c>
      <c r="L891" s="2" t="n">
        <f aca="false">INDEX('SLA Policy'!$B$2:$B$5,MATCH(E891,'SLA Policy'!$A$2:$A$5,0))</f>
        <v>24</v>
      </c>
      <c r="M891" s="2" t="str">
        <f aca="false">IF(K891="","Open",IF(K891&lt;=L891,"Yes","No"))</f>
        <v>Yes</v>
      </c>
    </row>
    <row r="892" customFormat="false" ht="15" hidden="false" customHeight="false" outlineLevel="0" collapsed="false">
      <c r="A892" s="2" t="s">
        <v>926</v>
      </c>
      <c r="B892" s="7" t="n">
        <v>46154.5597222222</v>
      </c>
      <c r="C892" s="7" t="n">
        <v>46156.3513888889</v>
      </c>
      <c r="D892" s="2" t="s">
        <v>27</v>
      </c>
      <c r="E892" s="2" t="s">
        <v>32</v>
      </c>
      <c r="F892" s="2" t="s">
        <v>38</v>
      </c>
      <c r="G892" s="2" t="s">
        <v>29</v>
      </c>
      <c r="H892" s="2" t="n">
        <v>3</v>
      </c>
      <c r="I892" s="2" t="str">
        <f aca="false">IF(C892="","Open","Resolved")</f>
        <v>Resolved</v>
      </c>
      <c r="J892" s="2" t="str">
        <f aca="false">TEXT(B892,"yyyy-mm")</f>
        <v>2026-05</v>
      </c>
      <c r="K892" s="8" t="n">
        <f aca="false">IF(C892="","",ROUND((C892-B892)*24,2))</f>
        <v>43</v>
      </c>
      <c r="L892" s="2" t="n">
        <f aca="false">INDEX('SLA Policy'!$B$2:$B$5,MATCH(E892,'SLA Policy'!$A$2:$A$5,0))</f>
        <v>72</v>
      </c>
      <c r="M892" s="2" t="str">
        <f aca="false">IF(K892="","Open",IF(K892&lt;=L892,"Yes","No"))</f>
        <v>Yes</v>
      </c>
    </row>
    <row r="893" customFormat="false" ht="15" hidden="false" customHeight="false" outlineLevel="0" collapsed="false">
      <c r="A893" s="2" t="s">
        <v>927</v>
      </c>
      <c r="B893" s="7" t="n">
        <v>46154.5618055556</v>
      </c>
      <c r="C893" s="7" t="n">
        <v>46154.6756944444</v>
      </c>
      <c r="D893" s="2" t="s">
        <v>27</v>
      </c>
      <c r="E893" s="2" t="s">
        <v>40</v>
      </c>
      <c r="F893" s="2" t="s">
        <v>38</v>
      </c>
      <c r="G893" s="2" t="s">
        <v>29</v>
      </c>
      <c r="H893" s="2" t="n">
        <v>5</v>
      </c>
      <c r="I893" s="2" t="str">
        <f aca="false">IF(C893="","Open","Resolved")</f>
        <v>Resolved</v>
      </c>
      <c r="J893" s="2" t="str">
        <f aca="false">TEXT(B893,"yyyy-mm")</f>
        <v>2026-05</v>
      </c>
      <c r="K893" s="8" t="n">
        <f aca="false">IF(C893="","",ROUND((C893-B893)*24,2))</f>
        <v>2.73</v>
      </c>
      <c r="L893" s="2" t="n">
        <f aca="false">INDEX('SLA Policy'!$B$2:$B$5,MATCH(E893,'SLA Policy'!$A$2:$A$5,0))</f>
        <v>4</v>
      </c>
      <c r="M893" s="2" t="str">
        <f aca="false">IF(K893="","Open",IF(K893&lt;=L893,"Yes","No"))</f>
        <v>Yes</v>
      </c>
    </row>
    <row r="894" customFormat="false" ht="15" hidden="false" customHeight="false" outlineLevel="0" collapsed="false">
      <c r="A894" s="2" t="s">
        <v>928</v>
      </c>
      <c r="B894" s="7" t="n">
        <v>46154.6263888889</v>
      </c>
      <c r="C894" s="7" t="n">
        <v>46154.8076388889</v>
      </c>
      <c r="D894" s="2" t="s">
        <v>31</v>
      </c>
      <c r="E894" s="2" t="s">
        <v>23</v>
      </c>
      <c r="F894" s="2" t="s">
        <v>27</v>
      </c>
      <c r="G894" s="2" t="s">
        <v>33</v>
      </c>
      <c r="H894" s="2" t="n">
        <v>5</v>
      </c>
      <c r="I894" s="2" t="str">
        <f aca="false">IF(C894="","Open","Resolved")</f>
        <v>Resolved</v>
      </c>
      <c r="J894" s="2" t="str">
        <f aca="false">TEXT(B894,"yyyy-mm")</f>
        <v>2026-05</v>
      </c>
      <c r="K894" s="8" t="n">
        <f aca="false">IF(C894="","",ROUND((C894-B894)*24,2))</f>
        <v>4.35</v>
      </c>
      <c r="L894" s="2" t="n">
        <f aca="false">INDEX('SLA Policy'!$B$2:$B$5,MATCH(E894,'SLA Policy'!$A$2:$A$5,0))</f>
        <v>8</v>
      </c>
      <c r="M894" s="2" t="str">
        <f aca="false">IF(K894="","Open",IF(K894&lt;=L894,"Yes","No"))</f>
        <v>Yes</v>
      </c>
    </row>
    <row r="895" customFormat="false" ht="15" hidden="false" customHeight="false" outlineLevel="0" collapsed="false">
      <c r="A895" s="2" t="s">
        <v>929</v>
      </c>
      <c r="B895" s="7" t="n">
        <v>46154.7076388889</v>
      </c>
      <c r="C895" s="7" t="n">
        <v>46156.0833333333</v>
      </c>
      <c r="D895" s="2" t="s">
        <v>31</v>
      </c>
      <c r="E895" s="2" t="s">
        <v>32</v>
      </c>
      <c r="F895" s="2" t="s">
        <v>28</v>
      </c>
      <c r="G895" s="2" t="s">
        <v>33</v>
      </c>
      <c r="H895" s="2" t="n">
        <v>4</v>
      </c>
      <c r="I895" s="2" t="str">
        <f aca="false">IF(C895="","Open","Resolved")</f>
        <v>Resolved</v>
      </c>
      <c r="J895" s="2" t="str">
        <f aca="false">TEXT(B895,"yyyy-mm")</f>
        <v>2026-05</v>
      </c>
      <c r="K895" s="8" t="n">
        <f aca="false">IF(C895="","",ROUND((C895-B895)*24,2))</f>
        <v>33.02</v>
      </c>
      <c r="L895" s="2" t="n">
        <f aca="false">INDEX('SLA Policy'!$B$2:$B$5,MATCH(E895,'SLA Policy'!$A$2:$A$5,0))</f>
        <v>72</v>
      </c>
      <c r="M895" s="2" t="str">
        <f aca="false">IF(K895="","Open",IF(K895&lt;=L895,"Yes","No"))</f>
        <v>Yes</v>
      </c>
    </row>
    <row r="896" customFormat="false" ht="15" hidden="false" customHeight="false" outlineLevel="0" collapsed="false">
      <c r="A896" s="2" t="s">
        <v>930</v>
      </c>
      <c r="B896" s="7" t="n">
        <v>46154.7430555556</v>
      </c>
      <c r="C896" s="7" t="n">
        <v>46155.0055555556</v>
      </c>
      <c r="D896" s="2" t="s">
        <v>42</v>
      </c>
      <c r="E896" s="2" t="s">
        <v>35</v>
      </c>
      <c r="F896" s="2" t="s">
        <v>27</v>
      </c>
      <c r="G896" s="2" t="s">
        <v>29</v>
      </c>
      <c r="H896" s="2" t="n">
        <v>4</v>
      </c>
      <c r="I896" s="2" t="str">
        <f aca="false">IF(C896="","Open","Resolved")</f>
        <v>Resolved</v>
      </c>
      <c r="J896" s="2" t="str">
        <f aca="false">TEXT(B896,"yyyy-mm")</f>
        <v>2026-05</v>
      </c>
      <c r="K896" s="8" t="n">
        <f aca="false">IF(C896="","",ROUND((C896-B896)*24,2))</f>
        <v>6.3</v>
      </c>
      <c r="L896" s="2" t="n">
        <f aca="false">INDEX('SLA Policy'!$B$2:$B$5,MATCH(E896,'SLA Policy'!$A$2:$A$5,0))</f>
        <v>24</v>
      </c>
      <c r="M896" s="2" t="str">
        <f aca="false">IF(K896="","Open",IF(K896&lt;=L896,"Yes","No"))</f>
        <v>Yes</v>
      </c>
    </row>
    <row r="897" customFormat="false" ht="15" hidden="false" customHeight="false" outlineLevel="0" collapsed="false">
      <c r="A897" s="2" t="s">
        <v>931</v>
      </c>
      <c r="B897" s="7" t="n">
        <v>46155.4576388889</v>
      </c>
      <c r="C897" s="7" t="n">
        <v>46164.18125</v>
      </c>
      <c r="D897" s="2" t="s">
        <v>22</v>
      </c>
      <c r="E897" s="2" t="s">
        <v>32</v>
      </c>
      <c r="F897" s="2" t="s">
        <v>28</v>
      </c>
      <c r="G897" s="2" t="s">
        <v>25</v>
      </c>
      <c r="H897" s="2" t="n">
        <v>1</v>
      </c>
      <c r="I897" s="2" t="str">
        <f aca="false">IF(C897="","Open","Resolved")</f>
        <v>Resolved</v>
      </c>
      <c r="J897" s="2" t="str">
        <f aca="false">TEXT(B897,"yyyy-mm")</f>
        <v>2026-05</v>
      </c>
      <c r="K897" s="8" t="n">
        <f aca="false">IF(C897="","",ROUND((C897-B897)*24,2))</f>
        <v>209.37</v>
      </c>
      <c r="L897" s="2" t="n">
        <f aca="false">INDEX('SLA Policy'!$B$2:$B$5,MATCH(E897,'SLA Policy'!$A$2:$A$5,0))</f>
        <v>72</v>
      </c>
      <c r="M897" s="2" t="str">
        <f aca="false">IF(K897="","Open",IF(K897&lt;=L897,"Yes","No"))</f>
        <v>No</v>
      </c>
    </row>
    <row r="898" customFormat="false" ht="15" hidden="false" customHeight="false" outlineLevel="0" collapsed="false">
      <c r="A898" s="2" t="s">
        <v>932</v>
      </c>
      <c r="B898" s="7" t="n">
        <v>46155.4854166667</v>
      </c>
      <c r="C898" s="7" t="n">
        <v>46156.5409722222</v>
      </c>
      <c r="D898" s="2" t="s">
        <v>27</v>
      </c>
      <c r="E898" s="2" t="s">
        <v>35</v>
      </c>
      <c r="F898" s="2" t="s">
        <v>27</v>
      </c>
      <c r="G898" s="2" t="s">
        <v>29</v>
      </c>
      <c r="H898" s="2" t="n">
        <v>4</v>
      </c>
      <c r="I898" s="2" t="str">
        <f aca="false">IF(C898="","Open","Resolved")</f>
        <v>Resolved</v>
      </c>
      <c r="J898" s="2" t="str">
        <f aca="false">TEXT(B898,"yyyy-mm")</f>
        <v>2026-05</v>
      </c>
      <c r="K898" s="8" t="n">
        <f aca="false">IF(C898="","",ROUND((C898-B898)*24,2))</f>
        <v>25.33</v>
      </c>
      <c r="L898" s="2" t="n">
        <f aca="false">INDEX('SLA Policy'!$B$2:$B$5,MATCH(E898,'SLA Policy'!$A$2:$A$5,0))</f>
        <v>24</v>
      </c>
      <c r="M898" s="2" t="str">
        <f aca="false">IF(K898="","Open",IF(K898&lt;=L898,"Yes","No"))</f>
        <v>No</v>
      </c>
    </row>
    <row r="899" customFormat="false" ht="15" hidden="false" customHeight="false" outlineLevel="0" collapsed="false">
      <c r="A899" s="2" t="s">
        <v>933</v>
      </c>
      <c r="B899" s="7" t="n">
        <v>46155.5770833333</v>
      </c>
      <c r="C899" s="7" t="n">
        <v>46156.4305555556</v>
      </c>
      <c r="D899" s="2" t="s">
        <v>27</v>
      </c>
      <c r="E899" s="2" t="s">
        <v>35</v>
      </c>
      <c r="F899" s="2" t="s">
        <v>24</v>
      </c>
      <c r="G899" s="2" t="s">
        <v>29</v>
      </c>
      <c r="H899" s="2" t="n">
        <v>2</v>
      </c>
      <c r="I899" s="2" t="str">
        <f aca="false">IF(C899="","Open","Resolved")</f>
        <v>Resolved</v>
      </c>
      <c r="J899" s="2" t="str">
        <f aca="false">TEXT(B899,"yyyy-mm")</f>
        <v>2026-05</v>
      </c>
      <c r="K899" s="8" t="n">
        <f aca="false">IF(C899="","",ROUND((C899-B899)*24,2))</f>
        <v>20.48</v>
      </c>
      <c r="L899" s="2" t="n">
        <f aca="false">INDEX('SLA Policy'!$B$2:$B$5,MATCH(E899,'SLA Policy'!$A$2:$A$5,0))</f>
        <v>24</v>
      </c>
      <c r="M899" s="2" t="str">
        <f aca="false">IF(K899="","Open",IF(K899&lt;=L899,"Yes","No"))</f>
        <v>Yes</v>
      </c>
    </row>
    <row r="900" customFormat="false" ht="15" hidden="false" customHeight="false" outlineLevel="0" collapsed="false">
      <c r="A900" s="2" t="s">
        <v>934</v>
      </c>
      <c r="B900" s="7" t="n">
        <v>46155.6388888889</v>
      </c>
      <c r="C900" s="7" t="n">
        <v>46159.2625</v>
      </c>
      <c r="D900" s="2" t="s">
        <v>22</v>
      </c>
      <c r="E900" s="2" t="s">
        <v>32</v>
      </c>
      <c r="F900" s="2" t="s">
        <v>38</v>
      </c>
      <c r="G900" s="2" t="s">
        <v>25</v>
      </c>
      <c r="H900" s="2" t="n">
        <v>2</v>
      </c>
      <c r="I900" s="2" t="str">
        <f aca="false">IF(C900="","Open","Resolved")</f>
        <v>Resolved</v>
      </c>
      <c r="J900" s="2" t="str">
        <f aca="false">TEXT(B900,"yyyy-mm")</f>
        <v>2026-05</v>
      </c>
      <c r="K900" s="8" t="n">
        <f aca="false">IF(C900="","",ROUND((C900-B900)*24,2))</f>
        <v>86.97</v>
      </c>
      <c r="L900" s="2" t="n">
        <f aca="false">INDEX('SLA Policy'!$B$2:$B$5,MATCH(E900,'SLA Policy'!$A$2:$A$5,0))</f>
        <v>72</v>
      </c>
      <c r="M900" s="2" t="str">
        <f aca="false">IF(K900="","Open",IF(K900&lt;=L900,"Yes","No"))</f>
        <v>No</v>
      </c>
    </row>
    <row r="901" customFormat="false" ht="15" hidden="false" customHeight="false" outlineLevel="0" collapsed="false">
      <c r="A901" s="2" t="s">
        <v>935</v>
      </c>
      <c r="B901" s="7" t="n">
        <v>46155.7395833333</v>
      </c>
      <c r="C901" s="7" t="n">
        <v>46157.4375</v>
      </c>
      <c r="D901" s="2" t="s">
        <v>31</v>
      </c>
      <c r="E901" s="2" t="s">
        <v>32</v>
      </c>
      <c r="F901" s="2" t="s">
        <v>24</v>
      </c>
      <c r="G901" s="2" t="s">
        <v>33</v>
      </c>
      <c r="H901" s="2" t="n">
        <v>2</v>
      </c>
      <c r="I901" s="2" t="str">
        <f aca="false">IF(C901="","Open","Resolved")</f>
        <v>Resolved</v>
      </c>
      <c r="J901" s="2" t="str">
        <f aca="false">TEXT(B901,"yyyy-mm")</f>
        <v>2026-05</v>
      </c>
      <c r="K901" s="8" t="n">
        <f aca="false">IF(C901="","",ROUND((C901-B901)*24,2))</f>
        <v>40.75</v>
      </c>
      <c r="L901" s="2" t="n">
        <f aca="false">INDEX('SLA Policy'!$B$2:$B$5,MATCH(E901,'SLA Policy'!$A$2:$A$5,0))</f>
        <v>72</v>
      </c>
      <c r="M901" s="2" t="str">
        <f aca="false">IF(K901="","Open",IF(K901&lt;=L901,"Yes","No"))</f>
        <v>Yes</v>
      </c>
    </row>
    <row r="902" customFormat="false" ht="15" hidden="false" customHeight="false" outlineLevel="0" collapsed="false">
      <c r="A902" s="2" t="s">
        <v>936</v>
      </c>
      <c r="B902" s="7" t="n">
        <v>46156.39375</v>
      </c>
      <c r="C902" s="7" t="n">
        <v>46158.8402777778</v>
      </c>
      <c r="D902" s="2" t="s">
        <v>31</v>
      </c>
      <c r="E902" s="2" t="s">
        <v>35</v>
      </c>
      <c r="F902" s="2" t="s">
        <v>24</v>
      </c>
      <c r="G902" s="2" t="s">
        <v>33</v>
      </c>
      <c r="H902" s="2" t="n">
        <v>3</v>
      </c>
      <c r="I902" s="2" t="str">
        <f aca="false">IF(C902="","Open","Resolved")</f>
        <v>Resolved</v>
      </c>
      <c r="J902" s="2" t="str">
        <f aca="false">TEXT(B902,"yyyy-mm")</f>
        <v>2026-05</v>
      </c>
      <c r="K902" s="8" t="n">
        <f aca="false">IF(C902="","",ROUND((C902-B902)*24,2))</f>
        <v>58.72</v>
      </c>
      <c r="L902" s="2" t="n">
        <f aca="false">INDEX('SLA Policy'!$B$2:$B$5,MATCH(E902,'SLA Policy'!$A$2:$A$5,0))</f>
        <v>24</v>
      </c>
      <c r="M902" s="2" t="str">
        <f aca="false">IF(K902="","Open",IF(K902&lt;=L902,"Yes","No"))</f>
        <v>No</v>
      </c>
    </row>
    <row r="903" customFormat="false" ht="15" hidden="false" customHeight="false" outlineLevel="0" collapsed="false">
      <c r="A903" s="2" t="s">
        <v>937</v>
      </c>
      <c r="B903" s="7" t="n">
        <v>46156.4715277778</v>
      </c>
      <c r="C903" s="7" t="n">
        <v>46158.4090277778</v>
      </c>
      <c r="D903" s="2" t="s">
        <v>48</v>
      </c>
      <c r="E903" s="2" t="s">
        <v>35</v>
      </c>
      <c r="F903" s="2" t="s">
        <v>24</v>
      </c>
      <c r="G903" s="2" t="s">
        <v>25</v>
      </c>
      <c r="H903" s="2" t="n">
        <v>3</v>
      </c>
      <c r="I903" s="2" t="str">
        <f aca="false">IF(C903="","Open","Resolved")</f>
        <v>Resolved</v>
      </c>
      <c r="J903" s="2" t="str">
        <f aca="false">TEXT(B903,"yyyy-mm")</f>
        <v>2026-05</v>
      </c>
      <c r="K903" s="8" t="n">
        <f aca="false">IF(C903="","",ROUND((C903-B903)*24,2))</f>
        <v>46.5</v>
      </c>
      <c r="L903" s="2" t="n">
        <f aca="false">INDEX('SLA Policy'!$B$2:$B$5,MATCH(E903,'SLA Policy'!$A$2:$A$5,0))</f>
        <v>24</v>
      </c>
      <c r="M903" s="2" t="str">
        <f aca="false">IF(K903="","Open",IF(K903&lt;=L903,"Yes","No"))</f>
        <v>No</v>
      </c>
    </row>
    <row r="904" customFormat="false" ht="15" hidden="false" customHeight="false" outlineLevel="0" collapsed="false">
      <c r="A904" s="2" t="s">
        <v>938</v>
      </c>
      <c r="B904" s="7" t="n">
        <v>46156.4972222222</v>
      </c>
      <c r="C904" s="7" t="n">
        <v>46156.7590277778</v>
      </c>
      <c r="D904" s="2" t="s">
        <v>42</v>
      </c>
      <c r="E904" s="2" t="s">
        <v>35</v>
      </c>
      <c r="F904" s="2" t="s">
        <v>24</v>
      </c>
      <c r="G904" s="2" t="s">
        <v>29</v>
      </c>
      <c r="H904" s="2" t="n">
        <v>4</v>
      </c>
      <c r="I904" s="2" t="str">
        <f aca="false">IF(C904="","Open","Resolved")</f>
        <v>Resolved</v>
      </c>
      <c r="J904" s="2" t="str">
        <f aca="false">TEXT(B904,"yyyy-mm")</f>
        <v>2026-05</v>
      </c>
      <c r="K904" s="8" t="n">
        <f aca="false">IF(C904="","",ROUND((C904-B904)*24,2))</f>
        <v>6.28</v>
      </c>
      <c r="L904" s="2" t="n">
        <f aca="false">INDEX('SLA Policy'!$B$2:$B$5,MATCH(E904,'SLA Policy'!$A$2:$A$5,0))</f>
        <v>24</v>
      </c>
      <c r="M904" s="2" t="str">
        <f aca="false">IF(K904="","Open",IF(K904&lt;=L904,"Yes","No"))</f>
        <v>Yes</v>
      </c>
    </row>
    <row r="905" customFormat="false" ht="15" hidden="false" customHeight="false" outlineLevel="0" collapsed="false">
      <c r="A905" s="2" t="s">
        <v>939</v>
      </c>
      <c r="B905" s="7" t="n">
        <v>46156.5534722222</v>
      </c>
      <c r="C905" s="7" t="n">
        <v>46157.4458333333</v>
      </c>
      <c r="D905" s="2" t="s">
        <v>27</v>
      </c>
      <c r="E905" s="2" t="s">
        <v>32</v>
      </c>
      <c r="F905" s="2" t="s">
        <v>24</v>
      </c>
      <c r="G905" s="2" t="s">
        <v>29</v>
      </c>
      <c r="H905" s="2" t="n">
        <v>5</v>
      </c>
      <c r="I905" s="2" t="str">
        <f aca="false">IF(C905="","Open","Resolved")</f>
        <v>Resolved</v>
      </c>
      <c r="J905" s="2" t="str">
        <f aca="false">TEXT(B905,"yyyy-mm")</f>
        <v>2026-05</v>
      </c>
      <c r="K905" s="8" t="n">
        <f aca="false">IF(C905="","",ROUND((C905-B905)*24,2))</f>
        <v>21.42</v>
      </c>
      <c r="L905" s="2" t="n">
        <f aca="false">INDEX('SLA Policy'!$B$2:$B$5,MATCH(E905,'SLA Policy'!$A$2:$A$5,0))</f>
        <v>72</v>
      </c>
      <c r="M905" s="2" t="str">
        <f aca="false">IF(K905="","Open",IF(K905&lt;=L905,"Yes","No"))</f>
        <v>Yes</v>
      </c>
    </row>
    <row r="906" customFormat="false" ht="15" hidden="false" customHeight="false" outlineLevel="0" collapsed="false">
      <c r="A906" s="2" t="s">
        <v>940</v>
      </c>
      <c r="B906" s="7" t="n">
        <v>46156.6027777778</v>
      </c>
      <c r="C906" s="7" t="n">
        <v>46160.1493055556</v>
      </c>
      <c r="D906" s="2" t="s">
        <v>22</v>
      </c>
      <c r="E906" s="2" t="s">
        <v>32</v>
      </c>
      <c r="F906" s="2" t="s">
        <v>28</v>
      </c>
      <c r="G906" s="2" t="s">
        <v>25</v>
      </c>
      <c r="H906" s="2" t="n">
        <v>1</v>
      </c>
      <c r="I906" s="2" t="str">
        <f aca="false">IF(C906="","Open","Resolved")</f>
        <v>Resolved</v>
      </c>
      <c r="J906" s="2" t="str">
        <f aca="false">TEXT(B906,"yyyy-mm")</f>
        <v>2026-05</v>
      </c>
      <c r="K906" s="8" t="n">
        <f aca="false">IF(C906="","",ROUND((C906-B906)*24,2))</f>
        <v>85.12</v>
      </c>
      <c r="L906" s="2" t="n">
        <f aca="false">INDEX('SLA Policy'!$B$2:$B$5,MATCH(E906,'SLA Policy'!$A$2:$A$5,0))</f>
        <v>72</v>
      </c>
      <c r="M906" s="2" t="str">
        <f aca="false">IF(K906="","Open",IF(K906&lt;=L906,"Yes","No"))</f>
        <v>No</v>
      </c>
    </row>
    <row r="907" customFormat="false" ht="15" hidden="false" customHeight="false" outlineLevel="0" collapsed="false">
      <c r="A907" s="2" t="s">
        <v>941</v>
      </c>
      <c r="B907" s="7" t="n">
        <v>46156.6229166667</v>
      </c>
      <c r="C907" s="7" t="n">
        <v>46158.8479166667</v>
      </c>
      <c r="D907" s="2" t="s">
        <v>48</v>
      </c>
      <c r="E907" s="2" t="s">
        <v>32</v>
      </c>
      <c r="F907" s="2" t="s">
        <v>38</v>
      </c>
      <c r="G907" s="2" t="s">
        <v>25</v>
      </c>
      <c r="H907" s="2" t="n">
        <v>2</v>
      </c>
      <c r="I907" s="2" t="str">
        <f aca="false">IF(C907="","Open","Resolved")</f>
        <v>Resolved</v>
      </c>
      <c r="J907" s="2" t="str">
        <f aca="false">TEXT(B907,"yyyy-mm")</f>
        <v>2026-05</v>
      </c>
      <c r="K907" s="8" t="n">
        <f aca="false">IF(C907="","",ROUND((C907-B907)*24,2))</f>
        <v>53.4</v>
      </c>
      <c r="L907" s="2" t="n">
        <f aca="false">INDEX('SLA Policy'!$B$2:$B$5,MATCH(E907,'SLA Policy'!$A$2:$A$5,0))</f>
        <v>72</v>
      </c>
      <c r="M907" s="2" t="str">
        <f aca="false">IF(K907="","Open",IF(K907&lt;=L907,"Yes","No"))</f>
        <v>Yes</v>
      </c>
    </row>
    <row r="908" customFormat="false" ht="15" hidden="false" customHeight="false" outlineLevel="0" collapsed="false">
      <c r="A908" s="2" t="s">
        <v>942</v>
      </c>
      <c r="B908" s="7" t="n">
        <v>46156.6555555556</v>
      </c>
      <c r="C908" s="7" t="n">
        <v>46157.0159722222</v>
      </c>
      <c r="D908" s="2" t="s">
        <v>48</v>
      </c>
      <c r="E908" s="2" t="s">
        <v>23</v>
      </c>
      <c r="F908" s="2" t="s">
        <v>27</v>
      </c>
      <c r="G908" s="2" t="s">
        <v>25</v>
      </c>
      <c r="H908" s="2" t="n">
        <v>4</v>
      </c>
      <c r="I908" s="2" t="str">
        <f aca="false">IF(C908="","Open","Resolved")</f>
        <v>Resolved</v>
      </c>
      <c r="J908" s="2" t="str">
        <f aca="false">TEXT(B908,"yyyy-mm")</f>
        <v>2026-05</v>
      </c>
      <c r="K908" s="8" t="n">
        <f aca="false">IF(C908="","",ROUND((C908-B908)*24,2))</f>
        <v>8.65</v>
      </c>
      <c r="L908" s="2" t="n">
        <f aca="false">INDEX('SLA Policy'!$B$2:$B$5,MATCH(E908,'SLA Policy'!$A$2:$A$5,0))</f>
        <v>8</v>
      </c>
      <c r="M908" s="2" t="str">
        <f aca="false">IF(K908="","Open",IF(K908&lt;=L908,"Yes","No"))</f>
        <v>No</v>
      </c>
    </row>
    <row r="909" customFormat="false" ht="15" hidden="false" customHeight="false" outlineLevel="0" collapsed="false">
      <c r="A909" s="2" t="s">
        <v>943</v>
      </c>
      <c r="B909" s="7" t="n">
        <v>46156.7298611111</v>
      </c>
      <c r="C909" s="7" t="n">
        <v>46157.0881944444</v>
      </c>
      <c r="D909" s="2" t="s">
        <v>42</v>
      </c>
      <c r="E909" s="2" t="s">
        <v>35</v>
      </c>
      <c r="F909" s="2" t="s">
        <v>27</v>
      </c>
      <c r="G909" s="2" t="s">
        <v>29</v>
      </c>
      <c r="H909" s="2" t="n">
        <v>5</v>
      </c>
      <c r="I909" s="2" t="str">
        <f aca="false">IF(C909="","Open","Resolved")</f>
        <v>Resolved</v>
      </c>
      <c r="J909" s="2" t="str">
        <f aca="false">TEXT(B909,"yyyy-mm")</f>
        <v>2026-05</v>
      </c>
      <c r="K909" s="8" t="n">
        <f aca="false">IF(C909="","",ROUND((C909-B909)*24,2))</f>
        <v>8.6</v>
      </c>
      <c r="L909" s="2" t="n">
        <f aca="false">INDEX('SLA Policy'!$B$2:$B$5,MATCH(E909,'SLA Policy'!$A$2:$A$5,0))</f>
        <v>24</v>
      </c>
      <c r="M909" s="2" t="str">
        <f aca="false">IF(K909="","Open",IF(K909&lt;=L909,"Yes","No"))</f>
        <v>Yes</v>
      </c>
    </row>
    <row r="910" customFormat="false" ht="15" hidden="false" customHeight="false" outlineLevel="0" collapsed="false">
      <c r="A910" s="2" t="s">
        <v>944</v>
      </c>
      <c r="B910" s="7" t="n">
        <v>46156.7618055556</v>
      </c>
      <c r="C910" s="7" t="n">
        <v>46156.9125</v>
      </c>
      <c r="D910" s="2" t="s">
        <v>42</v>
      </c>
      <c r="E910" s="2" t="s">
        <v>23</v>
      </c>
      <c r="F910" s="2" t="s">
        <v>27</v>
      </c>
      <c r="G910" s="2" t="s">
        <v>29</v>
      </c>
      <c r="H910" s="2" t="n">
        <v>5</v>
      </c>
      <c r="I910" s="2" t="str">
        <f aca="false">IF(C910="","Open","Resolved")</f>
        <v>Resolved</v>
      </c>
      <c r="J910" s="2" t="str">
        <f aca="false">TEXT(B910,"yyyy-mm")</f>
        <v>2026-05</v>
      </c>
      <c r="K910" s="8" t="n">
        <f aca="false">IF(C910="","",ROUND((C910-B910)*24,2))</f>
        <v>3.62</v>
      </c>
      <c r="L910" s="2" t="n">
        <f aca="false">INDEX('SLA Policy'!$B$2:$B$5,MATCH(E910,'SLA Policy'!$A$2:$A$5,0))</f>
        <v>8</v>
      </c>
      <c r="M910" s="2" t="str">
        <f aca="false">IF(K910="","Open",IF(K910&lt;=L910,"Yes","No"))</f>
        <v>Yes</v>
      </c>
    </row>
    <row r="911" customFormat="false" ht="15" hidden="false" customHeight="false" outlineLevel="0" collapsed="false">
      <c r="A911" s="2" t="s">
        <v>945</v>
      </c>
      <c r="B911" s="7" t="n">
        <v>46157.2923611111</v>
      </c>
      <c r="C911" s="7" t="n">
        <v>46157.6777777778</v>
      </c>
      <c r="D911" s="2" t="s">
        <v>31</v>
      </c>
      <c r="E911" s="2" t="s">
        <v>23</v>
      </c>
      <c r="F911" s="2" t="s">
        <v>24</v>
      </c>
      <c r="G911" s="2" t="s">
        <v>33</v>
      </c>
      <c r="H911" s="2" t="n">
        <v>5</v>
      </c>
      <c r="I911" s="2" t="str">
        <f aca="false">IF(C911="","Open","Resolved")</f>
        <v>Resolved</v>
      </c>
      <c r="J911" s="2" t="str">
        <f aca="false">TEXT(B911,"yyyy-mm")</f>
        <v>2026-05</v>
      </c>
      <c r="K911" s="8" t="n">
        <f aca="false">IF(C911="","",ROUND((C911-B911)*24,2))</f>
        <v>9.25</v>
      </c>
      <c r="L911" s="2" t="n">
        <f aca="false">INDEX('SLA Policy'!$B$2:$B$5,MATCH(E911,'SLA Policy'!$A$2:$A$5,0))</f>
        <v>8</v>
      </c>
      <c r="M911" s="2" t="str">
        <f aca="false">IF(K911="","Open",IF(K911&lt;=L911,"Yes","No"))</f>
        <v>No</v>
      </c>
    </row>
    <row r="912" customFormat="false" ht="15" hidden="false" customHeight="false" outlineLevel="0" collapsed="false">
      <c r="A912" s="2" t="s">
        <v>946</v>
      </c>
      <c r="B912" s="7" t="n">
        <v>46157.3972222222</v>
      </c>
      <c r="C912" s="7" t="n">
        <v>46158.5993055556</v>
      </c>
      <c r="D912" s="2" t="s">
        <v>31</v>
      </c>
      <c r="E912" s="2" t="s">
        <v>35</v>
      </c>
      <c r="F912" s="2" t="s">
        <v>38</v>
      </c>
      <c r="G912" s="2" t="s">
        <v>33</v>
      </c>
      <c r="H912" s="2" t="n">
        <v>4</v>
      </c>
      <c r="I912" s="2" t="str">
        <f aca="false">IF(C912="","Open","Resolved")</f>
        <v>Resolved</v>
      </c>
      <c r="J912" s="2" t="str">
        <f aca="false">TEXT(B912,"yyyy-mm")</f>
        <v>2026-05</v>
      </c>
      <c r="K912" s="8" t="n">
        <f aca="false">IF(C912="","",ROUND((C912-B912)*24,2))</f>
        <v>28.85</v>
      </c>
      <c r="L912" s="2" t="n">
        <f aca="false">INDEX('SLA Policy'!$B$2:$B$5,MATCH(E912,'SLA Policy'!$A$2:$A$5,0))</f>
        <v>24</v>
      </c>
      <c r="M912" s="2" t="str">
        <f aca="false">IF(K912="","Open",IF(K912&lt;=L912,"Yes","No"))</f>
        <v>No</v>
      </c>
    </row>
    <row r="913" customFormat="false" ht="15" hidden="false" customHeight="false" outlineLevel="0" collapsed="false">
      <c r="A913" s="2" t="s">
        <v>947</v>
      </c>
      <c r="B913" s="7" t="n">
        <v>46157.4993055556</v>
      </c>
      <c r="C913" s="7" t="n">
        <v>46159.4694444445</v>
      </c>
      <c r="D913" s="2" t="s">
        <v>22</v>
      </c>
      <c r="E913" s="2" t="s">
        <v>35</v>
      </c>
      <c r="F913" s="2" t="s">
        <v>27</v>
      </c>
      <c r="G913" s="2" t="s">
        <v>25</v>
      </c>
      <c r="H913" s="2" t="n">
        <v>3</v>
      </c>
      <c r="I913" s="2" t="str">
        <f aca="false">IF(C913="","Open","Resolved")</f>
        <v>Resolved</v>
      </c>
      <c r="J913" s="2" t="str">
        <f aca="false">TEXT(B913,"yyyy-mm")</f>
        <v>2026-05</v>
      </c>
      <c r="K913" s="8" t="n">
        <f aca="false">IF(C913="","",ROUND((C913-B913)*24,2))</f>
        <v>47.28</v>
      </c>
      <c r="L913" s="2" t="n">
        <f aca="false">INDEX('SLA Policy'!$B$2:$B$5,MATCH(E913,'SLA Policy'!$A$2:$A$5,0))</f>
        <v>24</v>
      </c>
      <c r="M913" s="2" t="str">
        <f aca="false">IF(K913="","Open",IF(K913&lt;=L913,"Yes","No"))</f>
        <v>No</v>
      </c>
    </row>
    <row r="914" customFormat="false" ht="15" hidden="false" customHeight="false" outlineLevel="0" collapsed="false">
      <c r="A914" s="2" t="s">
        <v>948</v>
      </c>
      <c r="B914" s="7" t="n">
        <v>46157.60625</v>
      </c>
      <c r="C914" s="7" t="n">
        <v>46159.8611111111</v>
      </c>
      <c r="D914" s="2" t="s">
        <v>22</v>
      </c>
      <c r="E914" s="2" t="s">
        <v>32</v>
      </c>
      <c r="F914" s="2" t="s">
        <v>28</v>
      </c>
      <c r="G914" s="2" t="s">
        <v>25</v>
      </c>
      <c r="H914" s="2" t="n">
        <v>3</v>
      </c>
      <c r="I914" s="2" t="str">
        <f aca="false">IF(C914="","Open","Resolved")</f>
        <v>Resolved</v>
      </c>
      <c r="J914" s="2" t="str">
        <f aca="false">TEXT(B914,"yyyy-mm")</f>
        <v>2026-05</v>
      </c>
      <c r="K914" s="8" t="n">
        <f aca="false">IF(C914="","",ROUND((C914-B914)*24,2))</f>
        <v>54.12</v>
      </c>
      <c r="L914" s="2" t="n">
        <f aca="false">INDEX('SLA Policy'!$B$2:$B$5,MATCH(E914,'SLA Policy'!$A$2:$A$5,0))</f>
        <v>72</v>
      </c>
      <c r="M914" s="2" t="str">
        <f aca="false">IF(K914="","Open",IF(K914&lt;=L914,"Yes","No"))</f>
        <v>Yes</v>
      </c>
    </row>
    <row r="915" customFormat="false" ht="15" hidden="false" customHeight="false" outlineLevel="0" collapsed="false">
      <c r="A915" s="2" t="s">
        <v>949</v>
      </c>
      <c r="B915" s="7" t="n">
        <v>46157.6881944445</v>
      </c>
      <c r="C915" s="7" t="n">
        <v>46159.2194444445</v>
      </c>
      <c r="D915" s="2" t="s">
        <v>31</v>
      </c>
      <c r="E915" s="2" t="s">
        <v>32</v>
      </c>
      <c r="F915" s="2" t="s">
        <v>38</v>
      </c>
      <c r="G915" s="2" t="s">
        <v>33</v>
      </c>
      <c r="H915" s="2" t="n">
        <v>3</v>
      </c>
      <c r="I915" s="2" t="str">
        <f aca="false">IF(C915="","Open","Resolved")</f>
        <v>Resolved</v>
      </c>
      <c r="J915" s="2" t="str">
        <f aca="false">TEXT(B915,"yyyy-mm")</f>
        <v>2026-05</v>
      </c>
      <c r="K915" s="8" t="n">
        <f aca="false">IF(C915="","",ROUND((C915-B915)*24,2))</f>
        <v>36.75</v>
      </c>
      <c r="L915" s="2" t="n">
        <f aca="false">INDEX('SLA Policy'!$B$2:$B$5,MATCH(E915,'SLA Policy'!$A$2:$A$5,0))</f>
        <v>72</v>
      </c>
      <c r="M915" s="2" t="str">
        <f aca="false">IF(K915="","Open",IF(K915&lt;=L915,"Yes","No"))</f>
        <v>Yes</v>
      </c>
    </row>
    <row r="916" customFormat="false" ht="15" hidden="false" customHeight="false" outlineLevel="0" collapsed="false">
      <c r="A916" s="2" t="s">
        <v>950</v>
      </c>
      <c r="B916" s="7" t="n">
        <v>46157.7645833333</v>
      </c>
      <c r="C916" s="7" t="n">
        <v>46158.3597222222</v>
      </c>
      <c r="D916" s="2" t="s">
        <v>27</v>
      </c>
      <c r="E916" s="2" t="s">
        <v>35</v>
      </c>
      <c r="F916" s="2" t="s">
        <v>24</v>
      </c>
      <c r="G916" s="2" t="s">
        <v>29</v>
      </c>
      <c r="H916" s="2" t="n">
        <v>4</v>
      </c>
      <c r="I916" s="2" t="str">
        <f aca="false">IF(C916="","Open","Resolved")</f>
        <v>Resolved</v>
      </c>
      <c r="J916" s="2" t="str">
        <f aca="false">TEXT(B916,"yyyy-mm")</f>
        <v>2026-05</v>
      </c>
      <c r="K916" s="8" t="n">
        <f aca="false">IF(C916="","",ROUND((C916-B916)*24,2))</f>
        <v>14.28</v>
      </c>
      <c r="L916" s="2" t="n">
        <f aca="false">INDEX('SLA Policy'!$B$2:$B$5,MATCH(E916,'SLA Policy'!$A$2:$A$5,0))</f>
        <v>24</v>
      </c>
      <c r="M916" s="2" t="str">
        <f aca="false">IF(K916="","Open",IF(K916&lt;=L916,"Yes","No"))</f>
        <v>Yes</v>
      </c>
    </row>
    <row r="917" customFormat="false" ht="15" hidden="false" customHeight="false" outlineLevel="0" collapsed="false">
      <c r="A917" s="2" t="s">
        <v>951</v>
      </c>
      <c r="B917" s="7" t="n">
        <v>46158.3097222222</v>
      </c>
      <c r="C917" s="7" t="n">
        <v>46160.5458333333</v>
      </c>
      <c r="D917" s="2" t="s">
        <v>48</v>
      </c>
      <c r="E917" s="2" t="s">
        <v>35</v>
      </c>
      <c r="F917" s="2" t="s">
        <v>38</v>
      </c>
      <c r="G917" s="2" t="s">
        <v>25</v>
      </c>
      <c r="H917" s="2" t="n">
        <v>3</v>
      </c>
      <c r="I917" s="2" t="str">
        <f aca="false">IF(C917="","Open","Resolved")</f>
        <v>Resolved</v>
      </c>
      <c r="J917" s="2" t="str">
        <f aca="false">TEXT(B917,"yyyy-mm")</f>
        <v>2026-05</v>
      </c>
      <c r="K917" s="8" t="n">
        <f aca="false">IF(C917="","",ROUND((C917-B917)*24,2))</f>
        <v>53.67</v>
      </c>
      <c r="L917" s="2" t="n">
        <f aca="false">INDEX('SLA Policy'!$B$2:$B$5,MATCH(E917,'SLA Policy'!$A$2:$A$5,0))</f>
        <v>24</v>
      </c>
      <c r="M917" s="2" t="str">
        <f aca="false">IF(K917="","Open",IF(K917&lt;=L917,"Yes","No"))</f>
        <v>No</v>
      </c>
    </row>
    <row r="918" customFormat="false" ht="15" hidden="false" customHeight="false" outlineLevel="0" collapsed="false">
      <c r="A918" s="2" t="s">
        <v>952</v>
      </c>
      <c r="B918" s="7" t="n">
        <v>46158.38125</v>
      </c>
      <c r="C918" s="7" t="n">
        <v>46163.2833333333</v>
      </c>
      <c r="D918" s="2" t="s">
        <v>22</v>
      </c>
      <c r="E918" s="2" t="s">
        <v>32</v>
      </c>
      <c r="F918" s="2" t="s">
        <v>38</v>
      </c>
      <c r="G918" s="2" t="s">
        <v>25</v>
      </c>
      <c r="H918" s="2" t="n">
        <v>1</v>
      </c>
      <c r="I918" s="2" t="str">
        <f aca="false">IF(C918="","Open","Resolved")</f>
        <v>Resolved</v>
      </c>
      <c r="J918" s="2" t="str">
        <f aca="false">TEXT(B918,"yyyy-mm")</f>
        <v>2026-05</v>
      </c>
      <c r="K918" s="8" t="n">
        <f aca="false">IF(C918="","",ROUND((C918-B918)*24,2))</f>
        <v>117.65</v>
      </c>
      <c r="L918" s="2" t="n">
        <f aca="false">INDEX('SLA Policy'!$B$2:$B$5,MATCH(E918,'SLA Policy'!$A$2:$A$5,0))</f>
        <v>72</v>
      </c>
      <c r="M918" s="2" t="str">
        <f aca="false">IF(K918="","Open",IF(K918&lt;=L918,"Yes","No"))</f>
        <v>No</v>
      </c>
    </row>
    <row r="919" customFormat="false" ht="15" hidden="false" customHeight="false" outlineLevel="0" collapsed="false">
      <c r="A919" s="2" t="s">
        <v>953</v>
      </c>
      <c r="B919" s="7" t="n">
        <v>46158.4479166667</v>
      </c>
      <c r="C919" s="7" t="n">
        <v>46161.4576388889</v>
      </c>
      <c r="D919" s="2" t="s">
        <v>31</v>
      </c>
      <c r="E919" s="2" t="s">
        <v>32</v>
      </c>
      <c r="F919" s="2" t="s">
        <v>24</v>
      </c>
      <c r="G919" s="2" t="s">
        <v>33</v>
      </c>
      <c r="H919" s="2" t="n">
        <v>2</v>
      </c>
      <c r="I919" s="2" t="str">
        <f aca="false">IF(C919="","Open","Resolved")</f>
        <v>Resolved</v>
      </c>
      <c r="J919" s="2" t="str">
        <f aca="false">TEXT(B919,"yyyy-mm")</f>
        <v>2026-05</v>
      </c>
      <c r="K919" s="8" t="n">
        <f aca="false">IF(C919="","",ROUND((C919-B919)*24,2))</f>
        <v>72.23</v>
      </c>
      <c r="L919" s="2" t="n">
        <f aca="false">INDEX('SLA Policy'!$B$2:$B$5,MATCH(E919,'SLA Policy'!$A$2:$A$5,0))</f>
        <v>72</v>
      </c>
      <c r="M919" s="2" t="str">
        <f aca="false">IF(K919="","Open",IF(K919&lt;=L919,"Yes","No"))</f>
        <v>No</v>
      </c>
    </row>
    <row r="920" customFormat="false" ht="15" hidden="false" customHeight="false" outlineLevel="0" collapsed="false">
      <c r="A920" s="2" t="s">
        <v>954</v>
      </c>
      <c r="B920" s="7" t="n">
        <v>46158.4909722222</v>
      </c>
      <c r="C920" s="7" t="n">
        <v>46159.2756944444</v>
      </c>
      <c r="D920" s="2" t="s">
        <v>31</v>
      </c>
      <c r="E920" s="2" t="s">
        <v>35</v>
      </c>
      <c r="F920" s="2" t="s">
        <v>38</v>
      </c>
      <c r="G920" s="2" t="s">
        <v>33</v>
      </c>
      <c r="H920" s="2" t="n">
        <v>4</v>
      </c>
      <c r="I920" s="2" t="str">
        <f aca="false">IF(C920="","Open","Resolved")</f>
        <v>Resolved</v>
      </c>
      <c r="J920" s="2" t="str">
        <f aca="false">TEXT(B920,"yyyy-mm")</f>
        <v>2026-05</v>
      </c>
      <c r="K920" s="8" t="n">
        <f aca="false">IF(C920="","",ROUND((C920-B920)*24,2))</f>
        <v>18.83</v>
      </c>
      <c r="L920" s="2" t="n">
        <f aca="false">INDEX('SLA Policy'!$B$2:$B$5,MATCH(E920,'SLA Policy'!$A$2:$A$5,0))</f>
        <v>24</v>
      </c>
      <c r="M920" s="2" t="str">
        <f aca="false">IF(K920="","Open",IF(K920&lt;=L920,"Yes","No"))</f>
        <v>Yes</v>
      </c>
    </row>
    <row r="921" customFormat="false" ht="15" hidden="false" customHeight="false" outlineLevel="0" collapsed="false">
      <c r="A921" s="2" t="s">
        <v>955</v>
      </c>
      <c r="B921" s="7" t="n">
        <v>46158.5284722222</v>
      </c>
      <c r="C921" s="7" t="n">
        <v>46160.3736111111</v>
      </c>
      <c r="D921" s="2" t="s">
        <v>48</v>
      </c>
      <c r="E921" s="2" t="s">
        <v>35</v>
      </c>
      <c r="F921" s="2" t="s">
        <v>27</v>
      </c>
      <c r="G921" s="2" t="s">
        <v>25</v>
      </c>
      <c r="H921" s="2" t="n">
        <v>3</v>
      </c>
      <c r="I921" s="2" t="str">
        <f aca="false">IF(C921="","Open","Resolved")</f>
        <v>Resolved</v>
      </c>
      <c r="J921" s="2" t="str">
        <f aca="false">TEXT(B921,"yyyy-mm")</f>
        <v>2026-05</v>
      </c>
      <c r="K921" s="8" t="n">
        <f aca="false">IF(C921="","",ROUND((C921-B921)*24,2))</f>
        <v>44.28</v>
      </c>
      <c r="L921" s="2" t="n">
        <f aca="false">INDEX('SLA Policy'!$B$2:$B$5,MATCH(E921,'SLA Policy'!$A$2:$A$5,0))</f>
        <v>24</v>
      </c>
      <c r="M921" s="2" t="str">
        <f aca="false">IF(K921="","Open",IF(K921&lt;=L921,"Yes","No"))</f>
        <v>No</v>
      </c>
    </row>
    <row r="922" customFormat="false" ht="15" hidden="false" customHeight="false" outlineLevel="0" collapsed="false">
      <c r="A922" s="2" t="s">
        <v>956</v>
      </c>
      <c r="B922" s="7" t="n">
        <v>46158.7180555556</v>
      </c>
      <c r="C922" s="7" t="n">
        <v>46163.9472222222</v>
      </c>
      <c r="D922" s="2" t="s">
        <v>48</v>
      </c>
      <c r="E922" s="2" t="s">
        <v>32</v>
      </c>
      <c r="F922" s="2" t="s">
        <v>27</v>
      </c>
      <c r="G922" s="2" t="s">
        <v>25</v>
      </c>
      <c r="H922" s="2" t="n">
        <v>1</v>
      </c>
      <c r="I922" s="2" t="str">
        <f aca="false">IF(C922="","Open","Resolved")</f>
        <v>Resolved</v>
      </c>
      <c r="J922" s="2" t="str">
        <f aca="false">TEXT(B922,"yyyy-mm")</f>
        <v>2026-05</v>
      </c>
      <c r="K922" s="8" t="n">
        <f aca="false">IF(C922="","",ROUND((C922-B922)*24,2))</f>
        <v>125.5</v>
      </c>
      <c r="L922" s="2" t="n">
        <f aca="false">INDEX('SLA Policy'!$B$2:$B$5,MATCH(E922,'SLA Policy'!$A$2:$A$5,0))</f>
        <v>72</v>
      </c>
      <c r="M922" s="2" t="str">
        <f aca="false">IF(K922="","Open",IF(K922&lt;=L922,"Yes","No"))</f>
        <v>No</v>
      </c>
    </row>
    <row r="923" customFormat="false" ht="15" hidden="false" customHeight="false" outlineLevel="0" collapsed="false">
      <c r="A923" s="2" t="s">
        <v>957</v>
      </c>
      <c r="B923" s="7" t="n">
        <v>46160.2979166667</v>
      </c>
      <c r="C923" s="7" t="n">
        <v>46161.04375</v>
      </c>
      <c r="D923" s="2" t="s">
        <v>48</v>
      </c>
      <c r="E923" s="2" t="s">
        <v>23</v>
      </c>
      <c r="F923" s="2" t="s">
        <v>27</v>
      </c>
      <c r="G923" s="2" t="s">
        <v>25</v>
      </c>
      <c r="H923" s="2" t="n">
        <v>4</v>
      </c>
      <c r="I923" s="2" t="str">
        <f aca="false">IF(C923="","Open","Resolved")</f>
        <v>Resolved</v>
      </c>
      <c r="J923" s="2" t="str">
        <f aca="false">TEXT(B923,"yyyy-mm")</f>
        <v>2026-05</v>
      </c>
      <c r="K923" s="8" t="n">
        <f aca="false">IF(C923="","",ROUND((C923-B923)*24,2))</f>
        <v>17.9</v>
      </c>
      <c r="L923" s="2" t="n">
        <f aca="false">INDEX('SLA Policy'!$B$2:$B$5,MATCH(E923,'SLA Policy'!$A$2:$A$5,0))</f>
        <v>8</v>
      </c>
      <c r="M923" s="2" t="str">
        <f aca="false">IF(K923="","Open",IF(K923&lt;=L923,"Yes","No"))</f>
        <v>No</v>
      </c>
    </row>
    <row r="924" customFormat="false" ht="15" hidden="false" customHeight="false" outlineLevel="0" collapsed="false">
      <c r="A924" s="2" t="s">
        <v>958</v>
      </c>
      <c r="B924" s="7" t="n">
        <v>46160.3305555556</v>
      </c>
      <c r="C924" s="7" t="n">
        <v>46161.5097222222</v>
      </c>
      <c r="D924" s="2" t="s">
        <v>31</v>
      </c>
      <c r="E924" s="2" t="s">
        <v>32</v>
      </c>
      <c r="F924" s="2" t="s">
        <v>38</v>
      </c>
      <c r="G924" s="2" t="s">
        <v>33</v>
      </c>
      <c r="H924" s="2" t="n">
        <v>4</v>
      </c>
      <c r="I924" s="2" t="str">
        <f aca="false">IF(C924="","Open","Resolved")</f>
        <v>Resolved</v>
      </c>
      <c r="J924" s="2" t="str">
        <f aca="false">TEXT(B924,"yyyy-mm")</f>
        <v>2026-05</v>
      </c>
      <c r="K924" s="8" t="n">
        <f aca="false">IF(C924="","",ROUND((C924-B924)*24,2))</f>
        <v>28.3</v>
      </c>
      <c r="L924" s="2" t="n">
        <f aca="false">INDEX('SLA Policy'!$B$2:$B$5,MATCH(E924,'SLA Policy'!$A$2:$A$5,0))</f>
        <v>72</v>
      </c>
      <c r="M924" s="2" t="str">
        <f aca="false">IF(K924="","Open",IF(K924&lt;=L924,"Yes","No"))</f>
        <v>Yes</v>
      </c>
    </row>
    <row r="925" customFormat="false" ht="15" hidden="false" customHeight="false" outlineLevel="0" collapsed="false">
      <c r="A925" s="2" t="s">
        <v>959</v>
      </c>
      <c r="B925" s="7" t="n">
        <v>46160.3458333333</v>
      </c>
      <c r="C925" s="7" t="n">
        <v>46161.33125</v>
      </c>
      <c r="D925" s="2" t="s">
        <v>31</v>
      </c>
      <c r="E925" s="2" t="s">
        <v>32</v>
      </c>
      <c r="F925" s="2" t="s">
        <v>27</v>
      </c>
      <c r="G925" s="2" t="s">
        <v>33</v>
      </c>
      <c r="H925" s="2" t="n">
        <v>4</v>
      </c>
      <c r="I925" s="2" t="str">
        <f aca="false">IF(C925="","Open","Resolved")</f>
        <v>Resolved</v>
      </c>
      <c r="J925" s="2" t="str">
        <f aca="false">TEXT(B925,"yyyy-mm")</f>
        <v>2026-05</v>
      </c>
      <c r="K925" s="8" t="n">
        <f aca="false">IF(C925="","",ROUND((C925-B925)*24,2))</f>
        <v>23.65</v>
      </c>
      <c r="L925" s="2" t="n">
        <f aca="false">INDEX('SLA Policy'!$B$2:$B$5,MATCH(E925,'SLA Policy'!$A$2:$A$5,0))</f>
        <v>72</v>
      </c>
      <c r="M925" s="2" t="str">
        <f aca="false">IF(K925="","Open",IF(K925&lt;=L925,"Yes","No"))</f>
        <v>Yes</v>
      </c>
    </row>
    <row r="926" customFormat="false" ht="15" hidden="false" customHeight="false" outlineLevel="0" collapsed="false">
      <c r="A926" s="2" t="s">
        <v>960</v>
      </c>
      <c r="B926" s="7" t="n">
        <v>46160.3798611111</v>
      </c>
      <c r="C926" s="7" t="n">
        <v>46161.44375</v>
      </c>
      <c r="D926" s="2" t="s">
        <v>31</v>
      </c>
      <c r="E926" s="2" t="s">
        <v>35</v>
      </c>
      <c r="F926" s="2" t="s">
        <v>27</v>
      </c>
      <c r="G926" s="2" t="s">
        <v>33</v>
      </c>
      <c r="H926" s="2" t="n">
        <v>4</v>
      </c>
      <c r="I926" s="2" t="str">
        <f aca="false">IF(C926="","Open","Resolved")</f>
        <v>Resolved</v>
      </c>
      <c r="J926" s="2" t="str">
        <f aca="false">TEXT(B926,"yyyy-mm")</f>
        <v>2026-05</v>
      </c>
      <c r="K926" s="8" t="n">
        <f aca="false">IF(C926="","",ROUND((C926-B926)*24,2))</f>
        <v>25.53</v>
      </c>
      <c r="L926" s="2" t="n">
        <f aca="false">INDEX('SLA Policy'!$B$2:$B$5,MATCH(E926,'SLA Policy'!$A$2:$A$5,0))</f>
        <v>24</v>
      </c>
      <c r="M926" s="2" t="str">
        <f aca="false">IF(K926="","Open",IF(K926&lt;=L926,"Yes","No"))</f>
        <v>No</v>
      </c>
    </row>
    <row r="927" customFormat="false" ht="15" hidden="false" customHeight="false" outlineLevel="0" collapsed="false">
      <c r="A927" s="2" t="s">
        <v>961</v>
      </c>
      <c r="B927" s="7" t="n">
        <v>46160.4625</v>
      </c>
      <c r="C927" s="7" t="n">
        <v>46160.9868055556</v>
      </c>
      <c r="D927" s="2" t="s">
        <v>31</v>
      </c>
      <c r="E927" s="2" t="s">
        <v>35</v>
      </c>
      <c r="F927" s="2" t="s">
        <v>24</v>
      </c>
      <c r="G927" s="2" t="s">
        <v>33</v>
      </c>
      <c r="H927" s="2" t="n">
        <v>4</v>
      </c>
      <c r="I927" s="2" t="str">
        <f aca="false">IF(C927="","Open","Resolved")</f>
        <v>Resolved</v>
      </c>
      <c r="J927" s="2" t="str">
        <f aca="false">TEXT(B927,"yyyy-mm")</f>
        <v>2026-05</v>
      </c>
      <c r="K927" s="8" t="n">
        <f aca="false">IF(C927="","",ROUND((C927-B927)*24,2))</f>
        <v>12.58</v>
      </c>
      <c r="L927" s="2" t="n">
        <f aca="false">INDEX('SLA Policy'!$B$2:$B$5,MATCH(E927,'SLA Policy'!$A$2:$A$5,0))</f>
        <v>24</v>
      </c>
      <c r="M927" s="2" t="str">
        <f aca="false">IF(K927="","Open",IF(K927&lt;=L927,"Yes","No"))</f>
        <v>Yes</v>
      </c>
    </row>
    <row r="928" customFormat="false" ht="15" hidden="false" customHeight="false" outlineLevel="0" collapsed="false">
      <c r="A928" s="2" t="s">
        <v>962</v>
      </c>
      <c r="B928" s="7" t="n">
        <v>46160.4916666667</v>
      </c>
      <c r="C928" s="7" t="n">
        <v>46161.3173611111</v>
      </c>
      <c r="D928" s="2" t="s">
        <v>42</v>
      </c>
      <c r="E928" s="2" t="s">
        <v>32</v>
      </c>
      <c r="F928" s="2" t="s">
        <v>27</v>
      </c>
      <c r="G928" s="2" t="s">
        <v>29</v>
      </c>
      <c r="H928" s="2" t="n">
        <v>4</v>
      </c>
      <c r="I928" s="2" t="str">
        <f aca="false">IF(C928="","Open","Resolved")</f>
        <v>Resolved</v>
      </c>
      <c r="J928" s="2" t="str">
        <f aca="false">TEXT(B928,"yyyy-mm")</f>
        <v>2026-05</v>
      </c>
      <c r="K928" s="8" t="n">
        <f aca="false">IF(C928="","",ROUND((C928-B928)*24,2))</f>
        <v>19.82</v>
      </c>
      <c r="L928" s="2" t="n">
        <f aca="false">INDEX('SLA Policy'!$B$2:$B$5,MATCH(E928,'SLA Policy'!$A$2:$A$5,0))</f>
        <v>72</v>
      </c>
      <c r="M928" s="2" t="str">
        <f aca="false">IF(K928="","Open",IF(K928&lt;=L928,"Yes","No"))</f>
        <v>Yes</v>
      </c>
    </row>
    <row r="929" customFormat="false" ht="15" hidden="false" customHeight="false" outlineLevel="0" collapsed="false">
      <c r="A929" s="2" t="s">
        <v>963</v>
      </c>
      <c r="B929" s="7" t="n">
        <v>46160.4923611111</v>
      </c>
      <c r="C929" s="7" t="n">
        <v>46161.3868055556</v>
      </c>
      <c r="D929" s="2" t="s">
        <v>27</v>
      </c>
      <c r="E929" s="2" t="s">
        <v>35</v>
      </c>
      <c r="F929" s="2" t="s">
        <v>24</v>
      </c>
      <c r="G929" s="2" t="s">
        <v>29</v>
      </c>
      <c r="H929" s="2" t="n">
        <v>4</v>
      </c>
      <c r="I929" s="2" t="str">
        <f aca="false">IF(C929="","Open","Resolved")</f>
        <v>Resolved</v>
      </c>
      <c r="J929" s="2" t="str">
        <f aca="false">TEXT(B929,"yyyy-mm")</f>
        <v>2026-05</v>
      </c>
      <c r="K929" s="8" t="n">
        <f aca="false">IF(C929="","",ROUND((C929-B929)*24,2))</f>
        <v>21.47</v>
      </c>
      <c r="L929" s="2" t="n">
        <f aca="false">INDEX('SLA Policy'!$B$2:$B$5,MATCH(E929,'SLA Policy'!$A$2:$A$5,0))</f>
        <v>24</v>
      </c>
      <c r="M929" s="2" t="str">
        <f aca="false">IF(K929="","Open",IF(K929&lt;=L929,"Yes","No"))</f>
        <v>Yes</v>
      </c>
    </row>
    <row r="930" customFormat="false" ht="15" hidden="false" customHeight="false" outlineLevel="0" collapsed="false">
      <c r="A930" s="2" t="s">
        <v>964</v>
      </c>
      <c r="B930" s="7" t="n">
        <v>46160.5194444444</v>
      </c>
      <c r="C930" s="7" t="n">
        <v>46162.4923611111</v>
      </c>
      <c r="D930" s="2" t="s">
        <v>48</v>
      </c>
      <c r="E930" s="2" t="s">
        <v>32</v>
      </c>
      <c r="F930" s="2" t="s">
        <v>27</v>
      </c>
      <c r="G930" s="2" t="s">
        <v>25</v>
      </c>
      <c r="H930" s="2" t="n">
        <v>3</v>
      </c>
      <c r="I930" s="2" t="str">
        <f aca="false">IF(C930="","Open","Resolved")</f>
        <v>Resolved</v>
      </c>
      <c r="J930" s="2" t="str">
        <f aca="false">TEXT(B930,"yyyy-mm")</f>
        <v>2026-05</v>
      </c>
      <c r="K930" s="8" t="n">
        <f aca="false">IF(C930="","",ROUND((C930-B930)*24,2))</f>
        <v>47.35</v>
      </c>
      <c r="L930" s="2" t="n">
        <f aca="false">INDEX('SLA Policy'!$B$2:$B$5,MATCH(E930,'SLA Policy'!$A$2:$A$5,0))</f>
        <v>72</v>
      </c>
      <c r="M930" s="2" t="str">
        <f aca="false">IF(K930="","Open",IF(K930&lt;=L930,"Yes","No"))</f>
        <v>Yes</v>
      </c>
    </row>
    <row r="931" customFormat="false" ht="15" hidden="false" customHeight="false" outlineLevel="0" collapsed="false">
      <c r="A931" s="2" t="s">
        <v>965</v>
      </c>
      <c r="B931" s="7" t="n">
        <v>46160.5444444444</v>
      </c>
      <c r="C931" s="7" t="n">
        <v>46160.9375</v>
      </c>
      <c r="D931" s="2" t="s">
        <v>42</v>
      </c>
      <c r="E931" s="2" t="s">
        <v>23</v>
      </c>
      <c r="F931" s="2" t="s">
        <v>27</v>
      </c>
      <c r="G931" s="2" t="s">
        <v>29</v>
      </c>
      <c r="H931" s="2" t="n">
        <v>4</v>
      </c>
      <c r="I931" s="2" t="str">
        <f aca="false">IF(C931="","Open","Resolved")</f>
        <v>Resolved</v>
      </c>
      <c r="J931" s="2" t="str">
        <f aca="false">TEXT(B931,"yyyy-mm")</f>
        <v>2026-05</v>
      </c>
      <c r="K931" s="8" t="n">
        <f aca="false">IF(C931="","",ROUND((C931-B931)*24,2))</f>
        <v>9.43</v>
      </c>
      <c r="L931" s="2" t="n">
        <f aca="false">INDEX('SLA Policy'!$B$2:$B$5,MATCH(E931,'SLA Policy'!$A$2:$A$5,0))</f>
        <v>8</v>
      </c>
      <c r="M931" s="2" t="str">
        <f aca="false">IF(K931="","Open",IF(K931&lt;=L931,"Yes","No"))</f>
        <v>No</v>
      </c>
    </row>
    <row r="932" customFormat="false" ht="15" hidden="false" customHeight="false" outlineLevel="0" collapsed="false">
      <c r="A932" s="2" t="s">
        <v>966</v>
      </c>
      <c r="B932" s="7" t="n">
        <v>46160.5694444445</v>
      </c>
      <c r="C932" s="7" t="n">
        <v>46162.0305555556</v>
      </c>
      <c r="D932" s="2" t="s">
        <v>22</v>
      </c>
      <c r="E932" s="2" t="s">
        <v>35</v>
      </c>
      <c r="F932" s="2" t="s">
        <v>27</v>
      </c>
      <c r="G932" s="2" t="s">
        <v>25</v>
      </c>
      <c r="H932" s="2" t="n">
        <v>3</v>
      </c>
      <c r="I932" s="2" t="str">
        <f aca="false">IF(C932="","Open","Resolved")</f>
        <v>Resolved</v>
      </c>
      <c r="J932" s="2" t="str">
        <f aca="false">TEXT(B932,"yyyy-mm")</f>
        <v>2026-05</v>
      </c>
      <c r="K932" s="8" t="n">
        <f aca="false">IF(C932="","",ROUND((C932-B932)*24,2))</f>
        <v>35.07</v>
      </c>
      <c r="L932" s="2" t="n">
        <f aca="false">INDEX('SLA Policy'!$B$2:$B$5,MATCH(E932,'SLA Policy'!$A$2:$A$5,0))</f>
        <v>24</v>
      </c>
      <c r="M932" s="2" t="str">
        <f aca="false">IF(K932="","Open",IF(K932&lt;=L932,"Yes","No"))</f>
        <v>No</v>
      </c>
    </row>
    <row r="933" customFormat="false" ht="15" hidden="false" customHeight="false" outlineLevel="0" collapsed="false">
      <c r="A933" s="2" t="s">
        <v>967</v>
      </c>
      <c r="B933" s="7" t="n">
        <v>46160.6493055556</v>
      </c>
      <c r="C933" s="7" t="n">
        <v>46161.2236111111</v>
      </c>
      <c r="D933" s="2" t="s">
        <v>22</v>
      </c>
      <c r="E933" s="2" t="s">
        <v>35</v>
      </c>
      <c r="F933" s="2" t="s">
        <v>27</v>
      </c>
      <c r="G933" s="2" t="s">
        <v>25</v>
      </c>
      <c r="H933" s="2" t="n">
        <v>4</v>
      </c>
      <c r="I933" s="2" t="str">
        <f aca="false">IF(C933="","Open","Resolved")</f>
        <v>Resolved</v>
      </c>
      <c r="J933" s="2" t="str">
        <f aca="false">TEXT(B933,"yyyy-mm")</f>
        <v>2026-05</v>
      </c>
      <c r="K933" s="8" t="n">
        <f aca="false">IF(C933="","",ROUND((C933-B933)*24,2))</f>
        <v>13.78</v>
      </c>
      <c r="L933" s="2" t="n">
        <f aca="false">INDEX('SLA Policy'!$B$2:$B$5,MATCH(E933,'SLA Policy'!$A$2:$A$5,0))</f>
        <v>24</v>
      </c>
      <c r="M933" s="2" t="str">
        <f aca="false">IF(K933="","Open",IF(K933&lt;=L933,"Yes","No"))</f>
        <v>Yes</v>
      </c>
    </row>
    <row r="934" customFormat="false" ht="15" hidden="false" customHeight="false" outlineLevel="0" collapsed="false">
      <c r="A934" s="2" t="s">
        <v>968</v>
      </c>
      <c r="B934" s="7" t="n">
        <v>46160.6944444445</v>
      </c>
      <c r="C934" s="7" t="n">
        <v>46160.7534722222</v>
      </c>
      <c r="D934" s="2" t="s">
        <v>42</v>
      </c>
      <c r="E934" s="2" t="s">
        <v>40</v>
      </c>
      <c r="F934" s="2" t="s">
        <v>24</v>
      </c>
      <c r="G934" s="2" t="s">
        <v>29</v>
      </c>
      <c r="H934" s="2" t="n">
        <v>5</v>
      </c>
      <c r="I934" s="2" t="str">
        <f aca="false">IF(C934="","Open","Resolved")</f>
        <v>Resolved</v>
      </c>
      <c r="J934" s="2" t="str">
        <f aca="false">TEXT(B934,"yyyy-mm")</f>
        <v>2026-05</v>
      </c>
      <c r="K934" s="8" t="n">
        <f aca="false">IF(C934="","",ROUND((C934-B934)*24,2))</f>
        <v>1.42</v>
      </c>
      <c r="L934" s="2" t="n">
        <f aca="false">INDEX('SLA Policy'!$B$2:$B$5,MATCH(E934,'SLA Policy'!$A$2:$A$5,0))</f>
        <v>4</v>
      </c>
      <c r="M934" s="2" t="str">
        <f aca="false">IF(K934="","Open",IF(K934&lt;=L934,"Yes","No"))</f>
        <v>Yes</v>
      </c>
    </row>
    <row r="935" customFormat="false" ht="15" hidden="false" customHeight="false" outlineLevel="0" collapsed="false">
      <c r="A935" s="2" t="s">
        <v>969</v>
      </c>
      <c r="B935" s="7" t="n">
        <v>46160.7145833333</v>
      </c>
      <c r="C935" s="7" t="n">
        <v>46160.8666666667</v>
      </c>
      <c r="D935" s="2" t="s">
        <v>48</v>
      </c>
      <c r="E935" s="2" t="s">
        <v>40</v>
      </c>
      <c r="F935" s="2" t="s">
        <v>27</v>
      </c>
      <c r="G935" s="2" t="s">
        <v>25</v>
      </c>
      <c r="H935" s="2" t="n">
        <v>5</v>
      </c>
      <c r="I935" s="2" t="str">
        <f aca="false">IF(C935="","Open","Resolved")</f>
        <v>Resolved</v>
      </c>
      <c r="J935" s="2" t="str">
        <f aca="false">TEXT(B935,"yyyy-mm")</f>
        <v>2026-05</v>
      </c>
      <c r="K935" s="8" t="n">
        <f aca="false">IF(C935="","",ROUND((C935-B935)*24,2))</f>
        <v>3.65</v>
      </c>
      <c r="L935" s="2" t="n">
        <f aca="false">INDEX('SLA Policy'!$B$2:$B$5,MATCH(E935,'SLA Policy'!$A$2:$A$5,0))</f>
        <v>4</v>
      </c>
      <c r="M935" s="2" t="str">
        <f aca="false">IF(K935="","Open",IF(K935&lt;=L935,"Yes","No"))</f>
        <v>Yes</v>
      </c>
    </row>
    <row r="936" customFormat="false" ht="15" hidden="false" customHeight="false" outlineLevel="0" collapsed="false">
      <c r="A936" s="2" t="s">
        <v>970</v>
      </c>
      <c r="B936" s="7" t="n">
        <v>46160.7298611111</v>
      </c>
      <c r="C936" s="7" t="n">
        <v>46161.3805555556</v>
      </c>
      <c r="D936" s="2" t="s">
        <v>42</v>
      </c>
      <c r="E936" s="2" t="s">
        <v>35</v>
      </c>
      <c r="F936" s="2" t="s">
        <v>27</v>
      </c>
      <c r="G936" s="2" t="s">
        <v>29</v>
      </c>
      <c r="H936" s="2" t="n">
        <v>5</v>
      </c>
      <c r="I936" s="2" t="str">
        <f aca="false">IF(C936="","Open","Resolved")</f>
        <v>Resolved</v>
      </c>
      <c r="J936" s="2" t="str">
        <f aca="false">TEXT(B936,"yyyy-mm")</f>
        <v>2026-05</v>
      </c>
      <c r="K936" s="8" t="n">
        <f aca="false">IF(C936="","",ROUND((C936-B936)*24,2))</f>
        <v>15.62</v>
      </c>
      <c r="L936" s="2" t="n">
        <f aca="false">INDEX('SLA Policy'!$B$2:$B$5,MATCH(E936,'SLA Policy'!$A$2:$A$5,0))</f>
        <v>24</v>
      </c>
      <c r="M936" s="2" t="str">
        <f aca="false">IF(K936="","Open",IF(K936&lt;=L936,"Yes","No"))</f>
        <v>Yes</v>
      </c>
    </row>
    <row r="937" customFormat="false" ht="15" hidden="false" customHeight="false" outlineLevel="0" collapsed="false">
      <c r="A937" s="2" t="s">
        <v>971</v>
      </c>
      <c r="B937" s="7" t="n">
        <v>46160.7465277778</v>
      </c>
      <c r="C937" s="7" t="n">
        <v>46161.0361111111</v>
      </c>
      <c r="D937" s="2" t="s">
        <v>31</v>
      </c>
      <c r="E937" s="2" t="s">
        <v>23</v>
      </c>
      <c r="F937" s="2" t="s">
        <v>38</v>
      </c>
      <c r="G937" s="2" t="s">
        <v>33</v>
      </c>
      <c r="H937" s="2" t="n">
        <v>5</v>
      </c>
      <c r="I937" s="2" t="str">
        <f aca="false">IF(C937="","Open","Resolved")</f>
        <v>Resolved</v>
      </c>
      <c r="J937" s="2" t="str">
        <f aca="false">TEXT(B937,"yyyy-mm")</f>
        <v>2026-05</v>
      </c>
      <c r="K937" s="8" t="n">
        <f aca="false">IF(C937="","",ROUND((C937-B937)*24,2))</f>
        <v>6.95</v>
      </c>
      <c r="L937" s="2" t="n">
        <f aca="false">INDEX('SLA Policy'!$B$2:$B$5,MATCH(E937,'SLA Policy'!$A$2:$A$5,0))</f>
        <v>8</v>
      </c>
      <c r="M937" s="2" t="str">
        <f aca="false">IF(K937="","Open",IF(K937&lt;=L937,"Yes","No"))</f>
        <v>Yes</v>
      </c>
    </row>
    <row r="938" customFormat="false" ht="15" hidden="false" customHeight="false" outlineLevel="0" collapsed="false">
      <c r="A938" s="2" t="s">
        <v>972</v>
      </c>
      <c r="B938" s="7" t="n">
        <v>46160.7513888889</v>
      </c>
      <c r="C938" s="7" t="n">
        <v>46160.9784722222</v>
      </c>
      <c r="D938" s="2" t="s">
        <v>22</v>
      </c>
      <c r="E938" s="2" t="s">
        <v>23</v>
      </c>
      <c r="F938" s="2" t="s">
        <v>27</v>
      </c>
      <c r="G938" s="2" t="s">
        <v>25</v>
      </c>
      <c r="H938" s="2" t="n">
        <v>5</v>
      </c>
      <c r="I938" s="2" t="str">
        <f aca="false">IF(C938="","Open","Resolved")</f>
        <v>Resolved</v>
      </c>
      <c r="J938" s="2" t="str">
        <f aca="false">TEXT(B938,"yyyy-mm")</f>
        <v>2026-05</v>
      </c>
      <c r="K938" s="8" t="n">
        <f aca="false">IF(C938="","",ROUND((C938-B938)*24,2))</f>
        <v>5.45</v>
      </c>
      <c r="L938" s="2" t="n">
        <f aca="false">INDEX('SLA Policy'!$B$2:$B$5,MATCH(E938,'SLA Policy'!$A$2:$A$5,0))</f>
        <v>8</v>
      </c>
      <c r="M938" s="2" t="str">
        <f aca="false">IF(K938="","Open",IF(K938&lt;=L938,"Yes","No"))</f>
        <v>Yes</v>
      </c>
    </row>
    <row r="939" customFormat="false" ht="15" hidden="false" customHeight="false" outlineLevel="0" collapsed="false">
      <c r="A939" s="2" t="s">
        <v>973</v>
      </c>
      <c r="B939" s="7" t="n">
        <v>46160.7819444445</v>
      </c>
      <c r="C939" s="7" t="n">
        <v>46161.0881944444</v>
      </c>
      <c r="D939" s="2" t="s">
        <v>42</v>
      </c>
      <c r="E939" s="2" t="s">
        <v>35</v>
      </c>
      <c r="F939" s="2" t="s">
        <v>38</v>
      </c>
      <c r="G939" s="2" t="s">
        <v>29</v>
      </c>
      <c r="H939" s="2" t="n">
        <v>5</v>
      </c>
      <c r="I939" s="2" t="str">
        <f aca="false">IF(C939="","Open","Resolved")</f>
        <v>Resolved</v>
      </c>
      <c r="J939" s="2" t="str">
        <f aca="false">TEXT(B939,"yyyy-mm")</f>
        <v>2026-05</v>
      </c>
      <c r="K939" s="8" t="n">
        <f aca="false">IF(C939="","",ROUND((C939-B939)*24,2))</f>
        <v>7.35</v>
      </c>
      <c r="L939" s="2" t="n">
        <f aca="false">INDEX('SLA Policy'!$B$2:$B$5,MATCH(E939,'SLA Policy'!$A$2:$A$5,0))</f>
        <v>24</v>
      </c>
      <c r="M939" s="2" t="str">
        <f aca="false">IF(K939="","Open",IF(K939&lt;=L939,"Yes","No"))</f>
        <v>Yes</v>
      </c>
    </row>
    <row r="940" customFormat="false" ht="15" hidden="false" customHeight="false" outlineLevel="0" collapsed="false">
      <c r="A940" s="2" t="s">
        <v>974</v>
      </c>
      <c r="B940" s="7" t="n">
        <v>46161.35</v>
      </c>
      <c r="C940" s="7" t="n">
        <v>46161.6111111111</v>
      </c>
      <c r="D940" s="2" t="s">
        <v>42</v>
      </c>
      <c r="E940" s="2" t="s">
        <v>32</v>
      </c>
      <c r="F940" s="2" t="s">
        <v>24</v>
      </c>
      <c r="G940" s="2" t="s">
        <v>29</v>
      </c>
      <c r="H940" s="2" t="n">
        <v>5</v>
      </c>
      <c r="I940" s="2" t="str">
        <f aca="false">IF(C940="","Open","Resolved")</f>
        <v>Resolved</v>
      </c>
      <c r="J940" s="2" t="str">
        <f aca="false">TEXT(B940,"yyyy-mm")</f>
        <v>2026-05</v>
      </c>
      <c r="K940" s="8" t="n">
        <f aca="false">IF(C940="","",ROUND((C940-B940)*24,2))</f>
        <v>6.27</v>
      </c>
      <c r="L940" s="2" t="n">
        <f aca="false">INDEX('SLA Policy'!$B$2:$B$5,MATCH(E940,'SLA Policy'!$A$2:$A$5,0))</f>
        <v>72</v>
      </c>
      <c r="M940" s="2" t="str">
        <f aca="false">IF(K940="","Open",IF(K940&lt;=L940,"Yes","No"))</f>
        <v>Yes</v>
      </c>
    </row>
    <row r="941" customFormat="false" ht="15" hidden="false" customHeight="false" outlineLevel="0" collapsed="false">
      <c r="A941" s="2" t="s">
        <v>975</v>
      </c>
      <c r="B941" s="7" t="n">
        <v>46161.3638888889</v>
      </c>
      <c r="C941" s="7" t="n">
        <v>46162.1847222222</v>
      </c>
      <c r="D941" s="2" t="s">
        <v>27</v>
      </c>
      <c r="E941" s="2" t="s">
        <v>35</v>
      </c>
      <c r="F941" s="2" t="s">
        <v>28</v>
      </c>
      <c r="G941" s="2" t="s">
        <v>29</v>
      </c>
      <c r="H941" s="2" t="n">
        <v>5</v>
      </c>
      <c r="I941" s="2" t="str">
        <f aca="false">IF(C941="","Open","Resolved")</f>
        <v>Resolved</v>
      </c>
      <c r="J941" s="2" t="str">
        <f aca="false">TEXT(B941,"yyyy-mm")</f>
        <v>2026-05</v>
      </c>
      <c r="K941" s="8" t="n">
        <f aca="false">IF(C941="","",ROUND((C941-B941)*24,2))</f>
        <v>19.7</v>
      </c>
      <c r="L941" s="2" t="n">
        <f aca="false">INDEX('SLA Policy'!$B$2:$B$5,MATCH(E941,'SLA Policy'!$A$2:$A$5,0))</f>
        <v>24</v>
      </c>
      <c r="M941" s="2" t="str">
        <f aca="false">IF(K941="","Open",IF(K941&lt;=L941,"Yes","No"))</f>
        <v>Yes</v>
      </c>
    </row>
    <row r="942" customFormat="false" ht="15" hidden="false" customHeight="false" outlineLevel="0" collapsed="false">
      <c r="A942" s="2" t="s">
        <v>976</v>
      </c>
      <c r="B942" s="7" t="n">
        <v>46161.45625</v>
      </c>
      <c r="C942" s="7" t="n">
        <v>46162.66875</v>
      </c>
      <c r="D942" s="2" t="s">
        <v>27</v>
      </c>
      <c r="E942" s="2" t="s">
        <v>32</v>
      </c>
      <c r="F942" s="2" t="s">
        <v>24</v>
      </c>
      <c r="G942" s="2" t="s">
        <v>29</v>
      </c>
      <c r="H942" s="2" t="n">
        <v>3</v>
      </c>
      <c r="I942" s="2" t="str">
        <f aca="false">IF(C942="","Open","Resolved")</f>
        <v>Resolved</v>
      </c>
      <c r="J942" s="2" t="str">
        <f aca="false">TEXT(B942,"yyyy-mm")</f>
        <v>2026-05</v>
      </c>
      <c r="K942" s="8" t="n">
        <f aca="false">IF(C942="","",ROUND((C942-B942)*24,2))</f>
        <v>29.1</v>
      </c>
      <c r="L942" s="2" t="n">
        <f aca="false">INDEX('SLA Policy'!$B$2:$B$5,MATCH(E942,'SLA Policy'!$A$2:$A$5,0))</f>
        <v>72</v>
      </c>
      <c r="M942" s="2" t="str">
        <f aca="false">IF(K942="","Open",IF(K942&lt;=L942,"Yes","No"))</f>
        <v>Yes</v>
      </c>
    </row>
    <row r="943" customFormat="false" ht="15" hidden="false" customHeight="false" outlineLevel="0" collapsed="false">
      <c r="A943" s="2" t="s">
        <v>977</v>
      </c>
      <c r="B943" s="7" t="n">
        <v>46161.4895833333</v>
      </c>
      <c r="C943" s="7" t="n">
        <v>46161.7416666667</v>
      </c>
      <c r="D943" s="2" t="s">
        <v>31</v>
      </c>
      <c r="E943" s="2" t="s">
        <v>23</v>
      </c>
      <c r="F943" s="2" t="s">
        <v>24</v>
      </c>
      <c r="G943" s="2" t="s">
        <v>33</v>
      </c>
      <c r="H943" s="2" t="n">
        <v>4</v>
      </c>
      <c r="I943" s="2" t="str">
        <f aca="false">IF(C943="","Open","Resolved")</f>
        <v>Resolved</v>
      </c>
      <c r="J943" s="2" t="str">
        <f aca="false">TEXT(B943,"yyyy-mm")</f>
        <v>2026-05</v>
      </c>
      <c r="K943" s="8" t="n">
        <f aca="false">IF(C943="","",ROUND((C943-B943)*24,2))</f>
        <v>6.05</v>
      </c>
      <c r="L943" s="2" t="n">
        <f aca="false">INDEX('SLA Policy'!$B$2:$B$5,MATCH(E943,'SLA Policy'!$A$2:$A$5,0))</f>
        <v>8</v>
      </c>
      <c r="M943" s="2" t="str">
        <f aca="false">IF(K943="","Open",IF(K943&lt;=L943,"Yes","No"))</f>
        <v>Yes</v>
      </c>
    </row>
    <row r="944" customFormat="false" ht="15" hidden="false" customHeight="false" outlineLevel="0" collapsed="false">
      <c r="A944" s="2" t="s">
        <v>978</v>
      </c>
      <c r="B944" s="7" t="n">
        <v>46161.4909722222</v>
      </c>
      <c r="C944" s="7" t="n">
        <v>46161.8416666667</v>
      </c>
      <c r="D944" s="2" t="s">
        <v>42</v>
      </c>
      <c r="E944" s="2" t="s">
        <v>35</v>
      </c>
      <c r="F944" s="2" t="s">
        <v>38</v>
      </c>
      <c r="G944" s="2" t="s">
        <v>29</v>
      </c>
      <c r="H944" s="2" t="n">
        <v>4</v>
      </c>
      <c r="I944" s="2" t="str">
        <f aca="false">IF(C944="","Open","Resolved")</f>
        <v>Resolved</v>
      </c>
      <c r="J944" s="2" t="str">
        <f aca="false">TEXT(B944,"yyyy-mm")</f>
        <v>2026-05</v>
      </c>
      <c r="K944" s="8" t="n">
        <f aca="false">IF(C944="","",ROUND((C944-B944)*24,2))</f>
        <v>8.42</v>
      </c>
      <c r="L944" s="2" t="n">
        <f aca="false">INDEX('SLA Policy'!$B$2:$B$5,MATCH(E944,'SLA Policy'!$A$2:$A$5,0))</f>
        <v>24</v>
      </c>
      <c r="M944" s="2" t="str">
        <f aca="false">IF(K944="","Open",IF(K944&lt;=L944,"Yes","No"))</f>
        <v>Yes</v>
      </c>
    </row>
    <row r="945" customFormat="false" ht="15" hidden="false" customHeight="false" outlineLevel="0" collapsed="false">
      <c r="A945" s="2" t="s">
        <v>979</v>
      </c>
      <c r="B945" s="7" t="n">
        <v>46161.5604166667</v>
      </c>
      <c r="C945" s="7" t="n">
        <v>46166.4416666667</v>
      </c>
      <c r="D945" s="2" t="s">
        <v>48</v>
      </c>
      <c r="E945" s="2" t="s">
        <v>35</v>
      </c>
      <c r="F945" s="2" t="s">
        <v>24</v>
      </c>
      <c r="G945" s="2" t="s">
        <v>25</v>
      </c>
      <c r="H945" s="2" t="n">
        <v>1</v>
      </c>
      <c r="I945" s="2" t="str">
        <f aca="false">IF(C945="","Open","Resolved")</f>
        <v>Resolved</v>
      </c>
      <c r="J945" s="2" t="str">
        <f aca="false">TEXT(B945,"yyyy-mm")</f>
        <v>2026-05</v>
      </c>
      <c r="K945" s="8" t="n">
        <f aca="false">IF(C945="","",ROUND((C945-B945)*24,2))</f>
        <v>117.15</v>
      </c>
      <c r="L945" s="2" t="n">
        <f aca="false">INDEX('SLA Policy'!$B$2:$B$5,MATCH(E945,'SLA Policy'!$A$2:$A$5,0))</f>
        <v>24</v>
      </c>
      <c r="M945" s="2" t="str">
        <f aca="false">IF(K945="","Open",IF(K945&lt;=L945,"Yes","No"))</f>
        <v>No</v>
      </c>
    </row>
    <row r="946" customFormat="false" ht="15" hidden="false" customHeight="false" outlineLevel="0" collapsed="false">
      <c r="A946" s="2" t="s">
        <v>980</v>
      </c>
      <c r="B946" s="7" t="n">
        <v>46161.6333333333</v>
      </c>
      <c r="C946" s="7" t="n">
        <v>46162.0180555556</v>
      </c>
      <c r="D946" s="2" t="s">
        <v>42</v>
      </c>
      <c r="E946" s="2" t="s">
        <v>35</v>
      </c>
      <c r="F946" s="2" t="s">
        <v>38</v>
      </c>
      <c r="G946" s="2" t="s">
        <v>29</v>
      </c>
      <c r="H946" s="2" t="n">
        <v>5</v>
      </c>
      <c r="I946" s="2" t="str">
        <f aca="false">IF(C946="","Open","Resolved")</f>
        <v>Resolved</v>
      </c>
      <c r="J946" s="2" t="str">
        <f aca="false">TEXT(B946,"yyyy-mm")</f>
        <v>2026-05</v>
      </c>
      <c r="K946" s="8" t="n">
        <f aca="false">IF(C946="","",ROUND((C946-B946)*24,2))</f>
        <v>9.23</v>
      </c>
      <c r="L946" s="2" t="n">
        <f aca="false">INDEX('SLA Policy'!$B$2:$B$5,MATCH(E946,'SLA Policy'!$A$2:$A$5,0))</f>
        <v>24</v>
      </c>
      <c r="M946" s="2" t="str">
        <f aca="false">IF(K946="","Open",IF(K946&lt;=L946,"Yes","No"))</f>
        <v>Yes</v>
      </c>
    </row>
    <row r="947" customFormat="false" ht="15" hidden="false" customHeight="false" outlineLevel="0" collapsed="false">
      <c r="A947" s="2" t="s">
        <v>981</v>
      </c>
      <c r="B947" s="7" t="n">
        <v>46161.6493055556</v>
      </c>
      <c r="C947" s="7" t="n">
        <v>46161.9826388889</v>
      </c>
      <c r="D947" s="2" t="s">
        <v>31</v>
      </c>
      <c r="E947" s="2" t="s">
        <v>23</v>
      </c>
      <c r="F947" s="2" t="s">
        <v>24</v>
      </c>
      <c r="G947" s="2" t="s">
        <v>33</v>
      </c>
      <c r="H947" s="2" t="n">
        <v>5</v>
      </c>
      <c r="I947" s="2" t="str">
        <f aca="false">IF(C947="","Open","Resolved")</f>
        <v>Resolved</v>
      </c>
      <c r="J947" s="2" t="str">
        <f aca="false">TEXT(B947,"yyyy-mm")</f>
        <v>2026-05</v>
      </c>
      <c r="K947" s="8" t="n">
        <f aca="false">IF(C947="","",ROUND((C947-B947)*24,2))</f>
        <v>8</v>
      </c>
      <c r="L947" s="2" t="n">
        <f aca="false">INDEX('SLA Policy'!$B$2:$B$5,MATCH(E947,'SLA Policy'!$A$2:$A$5,0))</f>
        <v>8</v>
      </c>
      <c r="M947" s="2" t="str">
        <f aca="false">IF(K947="","Open",IF(K947&lt;=L947,"Yes","No"))</f>
        <v>Yes</v>
      </c>
    </row>
    <row r="948" customFormat="false" ht="15" hidden="false" customHeight="false" outlineLevel="0" collapsed="false">
      <c r="A948" s="2" t="s">
        <v>982</v>
      </c>
      <c r="B948" s="7" t="n">
        <v>46161.6534722222</v>
      </c>
      <c r="C948" s="7" t="n">
        <v>46162.4</v>
      </c>
      <c r="D948" s="2" t="s">
        <v>31</v>
      </c>
      <c r="E948" s="2" t="s">
        <v>35</v>
      </c>
      <c r="F948" s="2" t="s">
        <v>28</v>
      </c>
      <c r="G948" s="2" t="s">
        <v>33</v>
      </c>
      <c r="H948" s="2" t="n">
        <v>3</v>
      </c>
      <c r="I948" s="2" t="str">
        <f aca="false">IF(C948="","Open","Resolved")</f>
        <v>Resolved</v>
      </c>
      <c r="J948" s="2" t="str">
        <f aca="false">TEXT(B948,"yyyy-mm")</f>
        <v>2026-05</v>
      </c>
      <c r="K948" s="8" t="n">
        <f aca="false">IF(C948="","",ROUND((C948-B948)*24,2))</f>
        <v>17.92</v>
      </c>
      <c r="L948" s="2" t="n">
        <f aca="false">INDEX('SLA Policy'!$B$2:$B$5,MATCH(E948,'SLA Policy'!$A$2:$A$5,0))</f>
        <v>24</v>
      </c>
      <c r="M948" s="2" t="str">
        <f aca="false">IF(K948="","Open",IF(K948&lt;=L948,"Yes","No"))</f>
        <v>Yes</v>
      </c>
    </row>
    <row r="949" customFormat="false" ht="15" hidden="false" customHeight="false" outlineLevel="0" collapsed="false">
      <c r="A949" s="2" t="s">
        <v>983</v>
      </c>
      <c r="B949" s="7" t="n">
        <v>46162.3513888889</v>
      </c>
      <c r="C949" s="7" t="n">
        <v>46163.0013888889</v>
      </c>
      <c r="D949" s="2" t="s">
        <v>31</v>
      </c>
      <c r="E949" s="2" t="s">
        <v>32</v>
      </c>
      <c r="F949" s="2" t="s">
        <v>24</v>
      </c>
      <c r="G949" s="2" t="s">
        <v>33</v>
      </c>
      <c r="H949" s="2" t="n">
        <v>5</v>
      </c>
      <c r="I949" s="2" t="str">
        <f aca="false">IF(C949="","Open","Resolved")</f>
        <v>Resolved</v>
      </c>
      <c r="J949" s="2" t="str">
        <f aca="false">TEXT(B949,"yyyy-mm")</f>
        <v>2026-05</v>
      </c>
      <c r="K949" s="8" t="n">
        <f aca="false">IF(C949="","",ROUND((C949-B949)*24,2))</f>
        <v>15.6</v>
      </c>
      <c r="L949" s="2" t="n">
        <f aca="false">INDEX('SLA Policy'!$B$2:$B$5,MATCH(E949,'SLA Policy'!$A$2:$A$5,0))</f>
        <v>72</v>
      </c>
      <c r="M949" s="2" t="str">
        <f aca="false">IF(K949="","Open",IF(K949&lt;=L949,"Yes","No"))</f>
        <v>Yes</v>
      </c>
    </row>
    <row r="950" customFormat="false" ht="15" hidden="false" customHeight="false" outlineLevel="0" collapsed="false">
      <c r="A950" s="2" t="s">
        <v>984</v>
      </c>
      <c r="B950" s="7" t="n">
        <v>46162.4881944444</v>
      </c>
      <c r="C950" s="7" t="n">
        <v>46164.4131944445</v>
      </c>
      <c r="D950" s="2" t="s">
        <v>42</v>
      </c>
      <c r="E950" s="2" t="s">
        <v>32</v>
      </c>
      <c r="F950" s="2" t="s">
        <v>24</v>
      </c>
      <c r="G950" s="2" t="s">
        <v>29</v>
      </c>
      <c r="H950" s="2" t="n">
        <v>4</v>
      </c>
      <c r="I950" s="2" t="str">
        <f aca="false">IF(C950="","Open","Resolved")</f>
        <v>Resolved</v>
      </c>
      <c r="J950" s="2" t="str">
        <f aca="false">TEXT(B950,"yyyy-mm")</f>
        <v>2026-05</v>
      </c>
      <c r="K950" s="8" t="n">
        <f aca="false">IF(C950="","",ROUND((C950-B950)*24,2))</f>
        <v>46.2</v>
      </c>
      <c r="L950" s="2" t="n">
        <f aca="false">INDEX('SLA Policy'!$B$2:$B$5,MATCH(E950,'SLA Policy'!$A$2:$A$5,0))</f>
        <v>72</v>
      </c>
      <c r="M950" s="2" t="str">
        <f aca="false">IF(K950="","Open",IF(K950&lt;=L950,"Yes","No"))</f>
        <v>Yes</v>
      </c>
    </row>
    <row r="951" customFormat="false" ht="15" hidden="false" customHeight="false" outlineLevel="0" collapsed="false">
      <c r="A951" s="2" t="s">
        <v>985</v>
      </c>
      <c r="B951" s="7" t="n">
        <v>46162.6368055556</v>
      </c>
      <c r="C951" s="7" t="n">
        <v>46163.53125</v>
      </c>
      <c r="D951" s="2" t="s">
        <v>31</v>
      </c>
      <c r="E951" s="2" t="s">
        <v>35</v>
      </c>
      <c r="F951" s="2" t="s">
        <v>27</v>
      </c>
      <c r="G951" s="2" t="s">
        <v>33</v>
      </c>
      <c r="H951" s="2" t="n">
        <v>4</v>
      </c>
      <c r="I951" s="2" t="str">
        <f aca="false">IF(C951="","Open","Resolved")</f>
        <v>Resolved</v>
      </c>
      <c r="J951" s="2" t="str">
        <f aca="false">TEXT(B951,"yyyy-mm")</f>
        <v>2026-05</v>
      </c>
      <c r="K951" s="8" t="n">
        <f aca="false">IF(C951="","",ROUND((C951-B951)*24,2))</f>
        <v>21.47</v>
      </c>
      <c r="L951" s="2" t="n">
        <f aca="false">INDEX('SLA Policy'!$B$2:$B$5,MATCH(E951,'SLA Policy'!$A$2:$A$5,0))</f>
        <v>24</v>
      </c>
      <c r="M951" s="2" t="str">
        <f aca="false">IF(K951="","Open",IF(K951&lt;=L951,"Yes","No"))</f>
        <v>Yes</v>
      </c>
    </row>
    <row r="952" customFormat="false" ht="15" hidden="false" customHeight="false" outlineLevel="0" collapsed="false">
      <c r="A952" s="2" t="s">
        <v>986</v>
      </c>
      <c r="B952" s="7" t="n">
        <v>46162.6694444444</v>
      </c>
      <c r="C952" s="7" t="n">
        <v>46163.1097222222</v>
      </c>
      <c r="D952" s="2" t="s">
        <v>27</v>
      </c>
      <c r="E952" s="2" t="s">
        <v>23</v>
      </c>
      <c r="F952" s="2" t="s">
        <v>28</v>
      </c>
      <c r="G952" s="2" t="s">
        <v>29</v>
      </c>
      <c r="H952" s="2" t="n">
        <v>5</v>
      </c>
      <c r="I952" s="2" t="str">
        <f aca="false">IF(C952="","Open","Resolved")</f>
        <v>Resolved</v>
      </c>
      <c r="J952" s="2" t="str">
        <f aca="false">TEXT(B952,"yyyy-mm")</f>
        <v>2026-05</v>
      </c>
      <c r="K952" s="8" t="n">
        <f aca="false">IF(C952="","",ROUND((C952-B952)*24,2))</f>
        <v>10.57</v>
      </c>
      <c r="L952" s="2" t="n">
        <f aca="false">INDEX('SLA Policy'!$B$2:$B$5,MATCH(E952,'SLA Policy'!$A$2:$A$5,0))</f>
        <v>8</v>
      </c>
      <c r="M952" s="2" t="str">
        <f aca="false">IF(K952="","Open",IF(K952&lt;=L952,"Yes","No"))</f>
        <v>No</v>
      </c>
    </row>
    <row r="953" customFormat="false" ht="15" hidden="false" customHeight="false" outlineLevel="0" collapsed="false">
      <c r="A953" s="2" t="s">
        <v>987</v>
      </c>
      <c r="B953" s="7" t="n">
        <v>46162.7388888889</v>
      </c>
      <c r="C953" s="7" t="n">
        <v>46162.9152777778</v>
      </c>
      <c r="D953" s="2" t="s">
        <v>31</v>
      </c>
      <c r="E953" s="2" t="s">
        <v>23</v>
      </c>
      <c r="F953" s="2" t="s">
        <v>27</v>
      </c>
      <c r="G953" s="2" t="s">
        <v>33</v>
      </c>
      <c r="H953" s="2" t="n">
        <v>5</v>
      </c>
      <c r="I953" s="2" t="str">
        <f aca="false">IF(C953="","Open","Resolved")</f>
        <v>Resolved</v>
      </c>
      <c r="J953" s="2" t="str">
        <f aca="false">TEXT(B953,"yyyy-mm")</f>
        <v>2026-05</v>
      </c>
      <c r="K953" s="8" t="n">
        <f aca="false">IF(C953="","",ROUND((C953-B953)*24,2))</f>
        <v>4.23</v>
      </c>
      <c r="L953" s="2" t="n">
        <f aca="false">INDEX('SLA Policy'!$B$2:$B$5,MATCH(E953,'SLA Policy'!$A$2:$A$5,0))</f>
        <v>8</v>
      </c>
      <c r="M953" s="2" t="str">
        <f aca="false">IF(K953="","Open",IF(K953&lt;=L953,"Yes","No"))</f>
        <v>Yes</v>
      </c>
    </row>
    <row r="954" customFormat="false" ht="15" hidden="false" customHeight="false" outlineLevel="0" collapsed="false">
      <c r="A954" s="2" t="s">
        <v>988</v>
      </c>
      <c r="B954" s="7" t="n">
        <v>46162.7493055556</v>
      </c>
      <c r="C954" s="7" t="n">
        <v>46166.6805555556</v>
      </c>
      <c r="D954" s="2" t="s">
        <v>22</v>
      </c>
      <c r="E954" s="2" t="s">
        <v>32</v>
      </c>
      <c r="F954" s="2" t="s">
        <v>24</v>
      </c>
      <c r="G954" s="2" t="s">
        <v>25</v>
      </c>
      <c r="H954" s="2" t="n">
        <v>1</v>
      </c>
      <c r="I954" s="2" t="str">
        <f aca="false">IF(C954="","Open","Resolved")</f>
        <v>Resolved</v>
      </c>
      <c r="J954" s="2" t="str">
        <f aca="false">TEXT(B954,"yyyy-mm")</f>
        <v>2026-05</v>
      </c>
      <c r="K954" s="8" t="n">
        <f aca="false">IF(C954="","",ROUND((C954-B954)*24,2))</f>
        <v>94.35</v>
      </c>
      <c r="L954" s="2" t="n">
        <f aca="false">INDEX('SLA Policy'!$B$2:$B$5,MATCH(E954,'SLA Policy'!$A$2:$A$5,0))</f>
        <v>72</v>
      </c>
      <c r="M954" s="2" t="str">
        <f aca="false">IF(K954="","Open",IF(K954&lt;=L954,"Yes","No"))</f>
        <v>No</v>
      </c>
    </row>
    <row r="955" customFormat="false" ht="15" hidden="false" customHeight="false" outlineLevel="0" collapsed="false">
      <c r="A955" s="2" t="s">
        <v>989</v>
      </c>
      <c r="B955" s="7" t="n">
        <v>46163.3055555556</v>
      </c>
      <c r="C955" s="7" t="n">
        <v>46164.0791666667</v>
      </c>
      <c r="D955" s="2" t="s">
        <v>22</v>
      </c>
      <c r="E955" s="2" t="s">
        <v>35</v>
      </c>
      <c r="F955" s="2" t="s">
        <v>24</v>
      </c>
      <c r="G955" s="2" t="s">
        <v>25</v>
      </c>
      <c r="H955" s="2" t="n">
        <v>4</v>
      </c>
      <c r="I955" s="2" t="str">
        <f aca="false">IF(C955="","Open","Resolved")</f>
        <v>Resolved</v>
      </c>
      <c r="J955" s="2" t="str">
        <f aca="false">TEXT(B955,"yyyy-mm")</f>
        <v>2026-05</v>
      </c>
      <c r="K955" s="8" t="n">
        <f aca="false">IF(C955="","",ROUND((C955-B955)*24,2))</f>
        <v>18.57</v>
      </c>
      <c r="L955" s="2" t="n">
        <f aca="false">INDEX('SLA Policy'!$B$2:$B$5,MATCH(E955,'SLA Policy'!$A$2:$A$5,0))</f>
        <v>24</v>
      </c>
      <c r="M955" s="2" t="str">
        <f aca="false">IF(K955="","Open",IF(K955&lt;=L955,"Yes","No"))</f>
        <v>Yes</v>
      </c>
    </row>
    <row r="956" customFormat="false" ht="15" hidden="false" customHeight="false" outlineLevel="0" collapsed="false">
      <c r="A956" s="2" t="s">
        <v>990</v>
      </c>
      <c r="B956" s="7" t="n">
        <v>46163.35</v>
      </c>
      <c r="C956" s="7" t="n">
        <v>46163.59375</v>
      </c>
      <c r="D956" s="2" t="s">
        <v>42</v>
      </c>
      <c r="E956" s="2" t="s">
        <v>23</v>
      </c>
      <c r="F956" s="2" t="s">
        <v>27</v>
      </c>
      <c r="G956" s="2" t="s">
        <v>29</v>
      </c>
      <c r="H956" s="2" t="n">
        <v>4</v>
      </c>
      <c r="I956" s="2" t="str">
        <f aca="false">IF(C956="","Open","Resolved")</f>
        <v>Resolved</v>
      </c>
      <c r="J956" s="2" t="str">
        <f aca="false">TEXT(B956,"yyyy-mm")</f>
        <v>2026-05</v>
      </c>
      <c r="K956" s="8" t="n">
        <f aca="false">IF(C956="","",ROUND((C956-B956)*24,2))</f>
        <v>5.85</v>
      </c>
      <c r="L956" s="2" t="n">
        <f aca="false">INDEX('SLA Policy'!$B$2:$B$5,MATCH(E956,'SLA Policy'!$A$2:$A$5,0))</f>
        <v>8</v>
      </c>
      <c r="M956" s="2" t="str">
        <f aca="false">IF(K956="","Open",IF(K956&lt;=L956,"Yes","No"))</f>
        <v>Yes</v>
      </c>
    </row>
    <row r="957" customFormat="false" ht="15" hidden="false" customHeight="false" outlineLevel="0" collapsed="false">
      <c r="A957" s="2" t="s">
        <v>991</v>
      </c>
      <c r="B957" s="7" t="n">
        <v>46163.3895833333</v>
      </c>
      <c r="C957" s="7" t="n">
        <v>46165.0472222222</v>
      </c>
      <c r="D957" s="2" t="s">
        <v>48</v>
      </c>
      <c r="E957" s="2" t="s">
        <v>32</v>
      </c>
      <c r="F957" s="2" t="s">
        <v>28</v>
      </c>
      <c r="G957" s="2" t="s">
        <v>25</v>
      </c>
      <c r="H957" s="2" t="n">
        <v>3</v>
      </c>
      <c r="I957" s="2" t="str">
        <f aca="false">IF(C957="","Open","Resolved")</f>
        <v>Resolved</v>
      </c>
      <c r="J957" s="2" t="str">
        <f aca="false">TEXT(B957,"yyyy-mm")</f>
        <v>2026-05</v>
      </c>
      <c r="K957" s="8" t="n">
        <f aca="false">IF(C957="","",ROUND((C957-B957)*24,2))</f>
        <v>39.78</v>
      </c>
      <c r="L957" s="2" t="n">
        <f aca="false">INDEX('SLA Policy'!$B$2:$B$5,MATCH(E957,'SLA Policy'!$A$2:$A$5,0))</f>
        <v>72</v>
      </c>
      <c r="M957" s="2" t="str">
        <f aca="false">IF(K957="","Open",IF(K957&lt;=L957,"Yes","No"))</f>
        <v>Yes</v>
      </c>
    </row>
    <row r="958" customFormat="false" ht="15" hidden="false" customHeight="false" outlineLevel="0" collapsed="false">
      <c r="A958" s="2" t="s">
        <v>992</v>
      </c>
      <c r="B958" s="7" t="n">
        <v>46163.4277777778</v>
      </c>
      <c r="C958" s="7" t="n">
        <v>46164.4173611111</v>
      </c>
      <c r="D958" s="2" t="s">
        <v>27</v>
      </c>
      <c r="E958" s="2" t="s">
        <v>32</v>
      </c>
      <c r="F958" s="2" t="s">
        <v>24</v>
      </c>
      <c r="G958" s="2" t="s">
        <v>29</v>
      </c>
      <c r="H958" s="2" t="n">
        <v>3</v>
      </c>
      <c r="I958" s="2" t="str">
        <f aca="false">IF(C958="","Open","Resolved")</f>
        <v>Resolved</v>
      </c>
      <c r="J958" s="2" t="str">
        <f aca="false">TEXT(B958,"yyyy-mm")</f>
        <v>2026-05</v>
      </c>
      <c r="K958" s="8" t="n">
        <f aca="false">IF(C958="","",ROUND((C958-B958)*24,2))</f>
        <v>23.75</v>
      </c>
      <c r="L958" s="2" t="n">
        <f aca="false">INDEX('SLA Policy'!$B$2:$B$5,MATCH(E958,'SLA Policy'!$A$2:$A$5,0))</f>
        <v>72</v>
      </c>
      <c r="M958" s="2" t="str">
        <f aca="false">IF(K958="","Open",IF(K958&lt;=L958,"Yes","No"))</f>
        <v>Yes</v>
      </c>
    </row>
    <row r="959" customFormat="false" ht="15" hidden="false" customHeight="false" outlineLevel="0" collapsed="false">
      <c r="A959" s="2" t="s">
        <v>993</v>
      </c>
      <c r="B959" s="7" t="n">
        <v>46163.4388888889</v>
      </c>
      <c r="C959" s="7" t="n">
        <v>46163.65625</v>
      </c>
      <c r="D959" s="2" t="s">
        <v>22</v>
      </c>
      <c r="E959" s="2" t="s">
        <v>23</v>
      </c>
      <c r="F959" s="2" t="s">
        <v>24</v>
      </c>
      <c r="G959" s="2" t="s">
        <v>25</v>
      </c>
      <c r="H959" s="2" t="n">
        <v>5</v>
      </c>
      <c r="I959" s="2" t="str">
        <f aca="false">IF(C959="","Open","Resolved")</f>
        <v>Resolved</v>
      </c>
      <c r="J959" s="2" t="str">
        <f aca="false">TEXT(B959,"yyyy-mm")</f>
        <v>2026-05</v>
      </c>
      <c r="K959" s="8" t="n">
        <f aca="false">IF(C959="","",ROUND((C959-B959)*24,2))</f>
        <v>5.22</v>
      </c>
      <c r="L959" s="2" t="n">
        <f aca="false">INDEX('SLA Policy'!$B$2:$B$5,MATCH(E959,'SLA Policy'!$A$2:$A$5,0))</f>
        <v>8</v>
      </c>
      <c r="M959" s="2" t="str">
        <f aca="false">IF(K959="","Open",IF(K959&lt;=L959,"Yes","No"))</f>
        <v>Yes</v>
      </c>
    </row>
    <row r="960" customFormat="false" ht="15" hidden="false" customHeight="false" outlineLevel="0" collapsed="false">
      <c r="A960" s="2" t="s">
        <v>994</v>
      </c>
      <c r="B960" s="7" t="n">
        <v>46163.5201388889</v>
      </c>
      <c r="C960" s="7" t="n">
        <v>46163.7375</v>
      </c>
      <c r="D960" s="2" t="s">
        <v>42</v>
      </c>
      <c r="E960" s="2" t="s">
        <v>23</v>
      </c>
      <c r="F960" s="2" t="s">
        <v>27</v>
      </c>
      <c r="G960" s="2" t="s">
        <v>29</v>
      </c>
      <c r="H960" s="2" t="n">
        <v>5</v>
      </c>
      <c r="I960" s="2" t="str">
        <f aca="false">IF(C960="","Open","Resolved")</f>
        <v>Resolved</v>
      </c>
      <c r="J960" s="2" t="str">
        <f aca="false">TEXT(B960,"yyyy-mm")</f>
        <v>2026-05</v>
      </c>
      <c r="K960" s="8" t="n">
        <f aca="false">IF(C960="","",ROUND((C960-B960)*24,2))</f>
        <v>5.22</v>
      </c>
      <c r="L960" s="2" t="n">
        <f aca="false">INDEX('SLA Policy'!$B$2:$B$5,MATCH(E960,'SLA Policy'!$A$2:$A$5,0))</f>
        <v>8</v>
      </c>
      <c r="M960" s="2" t="str">
        <f aca="false">IF(K960="","Open",IF(K960&lt;=L960,"Yes","No"))</f>
        <v>Yes</v>
      </c>
    </row>
    <row r="961" customFormat="false" ht="15" hidden="false" customHeight="false" outlineLevel="0" collapsed="false">
      <c r="A961" s="2" t="s">
        <v>995</v>
      </c>
      <c r="B961" s="7" t="n">
        <v>46163.5798611111</v>
      </c>
      <c r="C961" s="7" t="n">
        <v>46164.9305555556</v>
      </c>
      <c r="D961" s="2" t="s">
        <v>22</v>
      </c>
      <c r="E961" s="2" t="s">
        <v>35</v>
      </c>
      <c r="F961" s="2" t="s">
        <v>28</v>
      </c>
      <c r="G961" s="2" t="s">
        <v>25</v>
      </c>
      <c r="H961" s="2" t="n">
        <v>4</v>
      </c>
      <c r="I961" s="2" t="str">
        <f aca="false">IF(C961="","Open","Resolved")</f>
        <v>Resolved</v>
      </c>
      <c r="J961" s="2" t="str">
        <f aca="false">TEXT(B961,"yyyy-mm")</f>
        <v>2026-05</v>
      </c>
      <c r="K961" s="8" t="n">
        <f aca="false">IF(C961="","",ROUND((C961-B961)*24,2))</f>
        <v>32.42</v>
      </c>
      <c r="L961" s="2" t="n">
        <f aca="false">INDEX('SLA Policy'!$B$2:$B$5,MATCH(E961,'SLA Policy'!$A$2:$A$5,0))</f>
        <v>24</v>
      </c>
      <c r="M961" s="2" t="str">
        <f aca="false">IF(K961="","Open",IF(K961&lt;=L961,"Yes","No"))</f>
        <v>No</v>
      </c>
    </row>
    <row r="962" customFormat="false" ht="15" hidden="false" customHeight="false" outlineLevel="0" collapsed="false">
      <c r="A962" s="2" t="s">
        <v>996</v>
      </c>
      <c r="B962" s="7" t="n">
        <v>46163.6138888889</v>
      </c>
      <c r="C962" s="7" t="n">
        <v>46164.0104166667</v>
      </c>
      <c r="D962" s="2" t="s">
        <v>42</v>
      </c>
      <c r="E962" s="2" t="s">
        <v>35</v>
      </c>
      <c r="F962" s="2" t="s">
        <v>28</v>
      </c>
      <c r="G962" s="2" t="s">
        <v>29</v>
      </c>
      <c r="H962" s="2" t="n">
        <v>5</v>
      </c>
      <c r="I962" s="2" t="str">
        <f aca="false">IF(C962="","Open","Resolved")</f>
        <v>Resolved</v>
      </c>
      <c r="J962" s="2" t="str">
        <f aca="false">TEXT(B962,"yyyy-mm")</f>
        <v>2026-05</v>
      </c>
      <c r="K962" s="8" t="n">
        <f aca="false">IF(C962="","",ROUND((C962-B962)*24,2))</f>
        <v>9.52</v>
      </c>
      <c r="L962" s="2" t="n">
        <f aca="false">INDEX('SLA Policy'!$B$2:$B$5,MATCH(E962,'SLA Policy'!$A$2:$A$5,0))</f>
        <v>24</v>
      </c>
      <c r="M962" s="2" t="str">
        <f aca="false">IF(K962="","Open",IF(K962&lt;=L962,"Yes","No"))</f>
        <v>Yes</v>
      </c>
    </row>
    <row r="963" customFormat="false" ht="15" hidden="false" customHeight="false" outlineLevel="0" collapsed="false">
      <c r="A963" s="2" t="s">
        <v>997</v>
      </c>
      <c r="B963" s="7" t="n">
        <v>46163.6638888889</v>
      </c>
      <c r="C963" s="7" t="n">
        <v>46164.5784722222</v>
      </c>
      <c r="D963" s="2" t="s">
        <v>42</v>
      </c>
      <c r="E963" s="2" t="s">
        <v>32</v>
      </c>
      <c r="F963" s="2" t="s">
        <v>27</v>
      </c>
      <c r="G963" s="2" t="s">
        <v>29</v>
      </c>
      <c r="H963" s="2" t="n">
        <v>5</v>
      </c>
      <c r="I963" s="2" t="str">
        <f aca="false">IF(C963="","Open","Resolved")</f>
        <v>Resolved</v>
      </c>
      <c r="J963" s="2" t="str">
        <f aca="false">TEXT(B963,"yyyy-mm")</f>
        <v>2026-05</v>
      </c>
      <c r="K963" s="8" t="n">
        <f aca="false">IF(C963="","",ROUND((C963-B963)*24,2))</f>
        <v>21.95</v>
      </c>
      <c r="L963" s="2" t="n">
        <f aca="false">INDEX('SLA Policy'!$B$2:$B$5,MATCH(E963,'SLA Policy'!$A$2:$A$5,0))</f>
        <v>72</v>
      </c>
      <c r="M963" s="2" t="str">
        <f aca="false">IF(K963="","Open",IF(K963&lt;=L963,"Yes","No"))</f>
        <v>Yes</v>
      </c>
    </row>
    <row r="964" customFormat="false" ht="15" hidden="false" customHeight="false" outlineLevel="0" collapsed="false">
      <c r="A964" s="2" t="s">
        <v>998</v>
      </c>
      <c r="B964" s="7" t="n">
        <v>46163.7138888889</v>
      </c>
      <c r="C964" s="7" t="n">
        <v>46164.4833333333</v>
      </c>
      <c r="D964" s="2" t="s">
        <v>42</v>
      </c>
      <c r="E964" s="2" t="s">
        <v>35</v>
      </c>
      <c r="F964" s="2" t="s">
        <v>27</v>
      </c>
      <c r="G964" s="2" t="s">
        <v>29</v>
      </c>
      <c r="H964" s="2" t="n">
        <v>5</v>
      </c>
      <c r="I964" s="2" t="str">
        <f aca="false">IF(C964="","Open","Resolved")</f>
        <v>Resolved</v>
      </c>
      <c r="J964" s="2" t="str">
        <f aca="false">TEXT(B964,"yyyy-mm")</f>
        <v>2026-05</v>
      </c>
      <c r="K964" s="8" t="n">
        <f aca="false">IF(C964="","",ROUND((C964-B964)*24,2))</f>
        <v>18.47</v>
      </c>
      <c r="L964" s="2" t="n">
        <f aca="false">INDEX('SLA Policy'!$B$2:$B$5,MATCH(E964,'SLA Policy'!$A$2:$A$5,0))</f>
        <v>24</v>
      </c>
      <c r="M964" s="2" t="str">
        <f aca="false">IF(K964="","Open",IF(K964&lt;=L964,"Yes","No"))</f>
        <v>Yes</v>
      </c>
    </row>
    <row r="965" customFormat="false" ht="15" hidden="false" customHeight="false" outlineLevel="0" collapsed="false">
      <c r="A965" s="2" t="s">
        <v>999</v>
      </c>
      <c r="B965" s="7" t="n">
        <v>46163.71875</v>
      </c>
      <c r="C965" s="7" t="n">
        <v>46164.1298611111</v>
      </c>
      <c r="D965" s="2" t="s">
        <v>27</v>
      </c>
      <c r="E965" s="2" t="s">
        <v>35</v>
      </c>
      <c r="F965" s="2" t="s">
        <v>24</v>
      </c>
      <c r="G965" s="2" t="s">
        <v>29</v>
      </c>
      <c r="H965" s="2" t="n">
        <v>5</v>
      </c>
      <c r="I965" s="2" t="str">
        <f aca="false">IF(C965="","Open","Resolved")</f>
        <v>Resolved</v>
      </c>
      <c r="J965" s="2" t="str">
        <f aca="false">TEXT(B965,"yyyy-mm")</f>
        <v>2026-05</v>
      </c>
      <c r="K965" s="8" t="n">
        <f aca="false">IF(C965="","",ROUND((C965-B965)*24,2))</f>
        <v>9.87</v>
      </c>
      <c r="L965" s="2" t="n">
        <f aca="false">INDEX('SLA Policy'!$B$2:$B$5,MATCH(E965,'SLA Policy'!$A$2:$A$5,0))</f>
        <v>24</v>
      </c>
      <c r="M965" s="2" t="str">
        <f aca="false">IF(K965="","Open",IF(K965&lt;=L965,"Yes","No"))</f>
        <v>Yes</v>
      </c>
    </row>
    <row r="966" customFormat="false" ht="15" hidden="false" customHeight="false" outlineLevel="0" collapsed="false">
      <c r="A966" s="2" t="s">
        <v>1000</v>
      </c>
      <c r="B966" s="7" t="n">
        <v>46163.7270833333</v>
      </c>
      <c r="C966" s="7" t="n">
        <v>46164.2986111111</v>
      </c>
      <c r="D966" s="2" t="s">
        <v>42</v>
      </c>
      <c r="E966" s="2" t="s">
        <v>35</v>
      </c>
      <c r="F966" s="2" t="s">
        <v>27</v>
      </c>
      <c r="G966" s="2" t="s">
        <v>29</v>
      </c>
      <c r="H966" s="2" t="n">
        <v>4</v>
      </c>
      <c r="I966" s="2" t="str">
        <f aca="false">IF(C966="","Open","Resolved")</f>
        <v>Resolved</v>
      </c>
      <c r="J966" s="2" t="str">
        <f aca="false">TEXT(B966,"yyyy-mm")</f>
        <v>2026-05</v>
      </c>
      <c r="K966" s="8" t="n">
        <f aca="false">IF(C966="","",ROUND((C966-B966)*24,2))</f>
        <v>13.72</v>
      </c>
      <c r="L966" s="2" t="n">
        <f aca="false">INDEX('SLA Policy'!$B$2:$B$5,MATCH(E966,'SLA Policy'!$A$2:$A$5,0))</f>
        <v>24</v>
      </c>
      <c r="M966" s="2" t="str">
        <f aca="false">IF(K966="","Open",IF(K966&lt;=L966,"Yes","No"))</f>
        <v>Yes</v>
      </c>
    </row>
    <row r="967" customFormat="false" ht="15" hidden="false" customHeight="false" outlineLevel="0" collapsed="false">
      <c r="A967" s="2" t="s">
        <v>1001</v>
      </c>
      <c r="B967" s="7" t="n">
        <v>46164.3215277778</v>
      </c>
      <c r="C967" s="7" t="n">
        <v>46165.0111111111</v>
      </c>
      <c r="D967" s="2" t="s">
        <v>31</v>
      </c>
      <c r="E967" s="2" t="s">
        <v>23</v>
      </c>
      <c r="F967" s="2" t="s">
        <v>27</v>
      </c>
      <c r="G967" s="2" t="s">
        <v>33</v>
      </c>
      <c r="H967" s="2" t="n">
        <v>4</v>
      </c>
      <c r="I967" s="2" t="str">
        <f aca="false">IF(C967="","Open","Resolved")</f>
        <v>Resolved</v>
      </c>
      <c r="J967" s="2" t="str">
        <f aca="false">TEXT(B967,"yyyy-mm")</f>
        <v>2026-05</v>
      </c>
      <c r="K967" s="8" t="n">
        <f aca="false">IF(C967="","",ROUND((C967-B967)*24,2))</f>
        <v>16.55</v>
      </c>
      <c r="L967" s="2" t="n">
        <f aca="false">INDEX('SLA Policy'!$B$2:$B$5,MATCH(E967,'SLA Policy'!$A$2:$A$5,0))</f>
        <v>8</v>
      </c>
      <c r="M967" s="2" t="str">
        <f aca="false">IF(K967="","Open",IF(K967&lt;=L967,"Yes","No"))</f>
        <v>No</v>
      </c>
    </row>
    <row r="968" customFormat="false" ht="15" hidden="false" customHeight="false" outlineLevel="0" collapsed="false">
      <c r="A968" s="2" t="s">
        <v>1002</v>
      </c>
      <c r="B968" s="7" t="n">
        <v>46164.3541666667</v>
      </c>
      <c r="C968" s="7" t="n">
        <v>46164.9340277778</v>
      </c>
      <c r="D968" s="2" t="s">
        <v>42</v>
      </c>
      <c r="E968" s="2" t="s">
        <v>35</v>
      </c>
      <c r="F968" s="2" t="s">
        <v>24</v>
      </c>
      <c r="G968" s="2" t="s">
        <v>29</v>
      </c>
      <c r="H968" s="2" t="n">
        <v>4</v>
      </c>
      <c r="I968" s="2" t="str">
        <f aca="false">IF(C968="","Open","Resolved")</f>
        <v>Resolved</v>
      </c>
      <c r="J968" s="2" t="str">
        <f aca="false">TEXT(B968,"yyyy-mm")</f>
        <v>2026-05</v>
      </c>
      <c r="K968" s="8" t="n">
        <f aca="false">IF(C968="","",ROUND((C968-B968)*24,2))</f>
        <v>13.92</v>
      </c>
      <c r="L968" s="2" t="n">
        <f aca="false">INDEX('SLA Policy'!$B$2:$B$5,MATCH(E968,'SLA Policy'!$A$2:$A$5,0))</f>
        <v>24</v>
      </c>
      <c r="M968" s="2" t="str">
        <f aca="false">IF(K968="","Open",IF(K968&lt;=L968,"Yes","No"))</f>
        <v>Yes</v>
      </c>
    </row>
    <row r="969" customFormat="false" ht="15" hidden="false" customHeight="false" outlineLevel="0" collapsed="false">
      <c r="A969" s="2" t="s">
        <v>1003</v>
      </c>
      <c r="B969" s="7" t="n">
        <v>46164.5006944445</v>
      </c>
      <c r="C969" s="7" t="n">
        <v>46164.8173611111</v>
      </c>
      <c r="D969" s="2" t="s">
        <v>22</v>
      </c>
      <c r="E969" s="2" t="s">
        <v>35</v>
      </c>
      <c r="F969" s="2" t="s">
        <v>24</v>
      </c>
      <c r="G969" s="2" t="s">
        <v>25</v>
      </c>
      <c r="H969" s="2" t="n">
        <v>5</v>
      </c>
      <c r="I969" s="2" t="str">
        <f aca="false">IF(C969="","Open","Resolved")</f>
        <v>Resolved</v>
      </c>
      <c r="J969" s="2" t="str">
        <f aca="false">TEXT(B969,"yyyy-mm")</f>
        <v>2026-05</v>
      </c>
      <c r="K969" s="8" t="n">
        <f aca="false">IF(C969="","",ROUND((C969-B969)*24,2))</f>
        <v>7.6</v>
      </c>
      <c r="L969" s="2" t="n">
        <f aca="false">INDEX('SLA Policy'!$B$2:$B$5,MATCH(E969,'SLA Policy'!$A$2:$A$5,0))</f>
        <v>24</v>
      </c>
      <c r="M969" s="2" t="str">
        <f aca="false">IF(K969="","Open",IF(K969&lt;=L969,"Yes","No"))</f>
        <v>Yes</v>
      </c>
    </row>
    <row r="970" customFormat="false" ht="15" hidden="false" customHeight="false" outlineLevel="0" collapsed="false">
      <c r="A970" s="2" t="s">
        <v>1004</v>
      </c>
      <c r="B970" s="7" t="n">
        <v>46164.6013888889</v>
      </c>
      <c r="C970" s="7" t="n">
        <v>46166.89375</v>
      </c>
      <c r="D970" s="2" t="s">
        <v>42</v>
      </c>
      <c r="E970" s="2" t="s">
        <v>32</v>
      </c>
      <c r="F970" s="2" t="s">
        <v>24</v>
      </c>
      <c r="G970" s="2" t="s">
        <v>29</v>
      </c>
      <c r="H970" s="2" t="n">
        <v>3</v>
      </c>
      <c r="I970" s="2" t="str">
        <f aca="false">IF(C970="","Open","Resolved")</f>
        <v>Resolved</v>
      </c>
      <c r="J970" s="2" t="str">
        <f aca="false">TEXT(B970,"yyyy-mm")</f>
        <v>2026-05</v>
      </c>
      <c r="K970" s="8" t="n">
        <f aca="false">IF(C970="","",ROUND((C970-B970)*24,2))</f>
        <v>55.02</v>
      </c>
      <c r="L970" s="2" t="n">
        <f aca="false">INDEX('SLA Policy'!$B$2:$B$5,MATCH(E970,'SLA Policy'!$A$2:$A$5,0))</f>
        <v>72</v>
      </c>
      <c r="M970" s="2" t="str">
        <f aca="false">IF(K970="","Open",IF(K970&lt;=L970,"Yes","No"))</f>
        <v>Yes</v>
      </c>
    </row>
    <row r="971" customFormat="false" ht="15" hidden="false" customHeight="false" outlineLevel="0" collapsed="false">
      <c r="A971" s="2" t="s">
        <v>1005</v>
      </c>
      <c r="B971" s="7" t="n">
        <v>46164.68125</v>
      </c>
      <c r="C971" s="7" t="n">
        <v>46165.8694444444</v>
      </c>
      <c r="D971" s="2" t="s">
        <v>31</v>
      </c>
      <c r="E971" s="2" t="s">
        <v>32</v>
      </c>
      <c r="F971" s="2" t="s">
        <v>24</v>
      </c>
      <c r="G971" s="2" t="s">
        <v>33</v>
      </c>
      <c r="H971" s="2" t="n">
        <v>4</v>
      </c>
      <c r="I971" s="2" t="str">
        <f aca="false">IF(C971="","Open","Resolved")</f>
        <v>Resolved</v>
      </c>
      <c r="J971" s="2" t="str">
        <f aca="false">TEXT(B971,"yyyy-mm")</f>
        <v>2026-05</v>
      </c>
      <c r="K971" s="8" t="n">
        <f aca="false">IF(C971="","",ROUND((C971-B971)*24,2))</f>
        <v>28.52</v>
      </c>
      <c r="L971" s="2" t="n">
        <f aca="false">INDEX('SLA Policy'!$B$2:$B$5,MATCH(E971,'SLA Policy'!$A$2:$A$5,0))</f>
        <v>72</v>
      </c>
      <c r="M971" s="2" t="str">
        <f aca="false">IF(K971="","Open",IF(K971&lt;=L971,"Yes","No"))</f>
        <v>Yes</v>
      </c>
    </row>
    <row r="972" customFormat="false" ht="15" hidden="false" customHeight="false" outlineLevel="0" collapsed="false">
      <c r="A972" s="2" t="s">
        <v>1006</v>
      </c>
      <c r="B972" s="7" t="n">
        <v>46164.7083333333</v>
      </c>
      <c r="C972" s="7" t="n">
        <v>46165.5243055556</v>
      </c>
      <c r="D972" s="2" t="s">
        <v>31</v>
      </c>
      <c r="E972" s="2" t="s">
        <v>35</v>
      </c>
      <c r="F972" s="2" t="s">
        <v>24</v>
      </c>
      <c r="G972" s="2" t="s">
        <v>33</v>
      </c>
      <c r="H972" s="2" t="n">
        <v>3</v>
      </c>
      <c r="I972" s="2" t="str">
        <f aca="false">IF(C972="","Open","Resolved")</f>
        <v>Resolved</v>
      </c>
      <c r="J972" s="2" t="str">
        <f aca="false">TEXT(B972,"yyyy-mm")</f>
        <v>2026-05</v>
      </c>
      <c r="K972" s="8" t="n">
        <f aca="false">IF(C972="","",ROUND((C972-B972)*24,2))</f>
        <v>19.58</v>
      </c>
      <c r="L972" s="2" t="n">
        <f aca="false">INDEX('SLA Policy'!$B$2:$B$5,MATCH(E972,'SLA Policy'!$A$2:$A$5,0))</f>
        <v>24</v>
      </c>
      <c r="M972" s="2" t="str">
        <f aca="false">IF(K972="","Open",IF(K972&lt;=L972,"Yes","No"))</f>
        <v>Yes</v>
      </c>
    </row>
    <row r="973" customFormat="false" ht="15" hidden="false" customHeight="false" outlineLevel="0" collapsed="false">
      <c r="A973" s="2" t="s">
        <v>1007</v>
      </c>
      <c r="B973" s="7" t="n">
        <v>46164.7298611111</v>
      </c>
      <c r="C973" s="7" t="n">
        <v>46166.1284722222</v>
      </c>
      <c r="D973" s="2" t="s">
        <v>48</v>
      </c>
      <c r="E973" s="2" t="s">
        <v>35</v>
      </c>
      <c r="F973" s="2" t="s">
        <v>38</v>
      </c>
      <c r="G973" s="2" t="s">
        <v>25</v>
      </c>
      <c r="H973" s="2" t="n">
        <v>3</v>
      </c>
      <c r="I973" s="2" t="str">
        <f aca="false">IF(C973="","Open","Resolved")</f>
        <v>Resolved</v>
      </c>
      <c r="J973" s="2" t="str">
        <f aca="false">TEXT(B973,"yyyy-mm")</f>
        <v>2026-05</v>
      </c>
      <c r="K973" s="8" t="n">
        <f aca="false">IF(C973="","",ROUND((C973-B973)*24,2))</f>
        <v>33.57</v>
      </c>
      <c r="L973" s="2" t="n">
        <f aca="false">INDEX('SLA Policy'!$B$2:$B$5,MATCH(E973,'SLA Policy'!$A$2:$A$5,0))</f>
        <v>24</v>
      </c>
      <c r="M973" s="2" t="str">
        <f aca="false">IF(K973="","Open",IF(K973&lt;=L973,"Yes","No"))</f>
        <v>No</v>
      </c>
    </row>
    <row r="974" customFormat="false" ht="15" hidden="false" customHeight="false" outlineLevel="0" collapsed="false">
      <c r="A974" s="2" t="s">
        <v>1008</v>
      </c>
      <c r="B974" s="7" t="n">
        <v>46165.6138888889</v>
      </c>
      <c r="C974" s="7" t="n">
        <v>46166.5805555556</v>
      </c>
      <c r="D974" s="2" t="s">
        <v>22</v>
      </c>
      <c r="E974" s="2" t="s">
        <v>35</v>
      </c>
      <c r="F974" s="2" t="s">
        <v>38</v>
      </c>
      <c r="G974" s="2" t="s">
        <v>25</v>
      </c>
      <c r="H974" s="2" t="n">
        <v>4</v>
      </c>
      <c r="I974" s="2" t="str">
        <f aca="false">IF(C974="","Open","Resolved")</f>
        <v>Resolved</v>
      </c>
      <c r="J974" s="2" t="str">
        <f aca="false">TEXT(B974,"yyyy-mm")</f>
        <v>2026-05</v>
      </c>
      <c r="K974" s="8" t="n">
        <f aca="false">IF(C974="","",ROUND((C974-B974)*24,2))</f>
        <v>23.2</v>
      </c>
      <c r="L974" s="2" t="n">
        <f aca="false">INDEX('SLA Policy'!$B$2:$B$5,MATCH(E974,'SLA Policy'!$A$2:$A$5,0))</f>
        <v>24</v>
      </c>
      <c r="M974" s="2" t="str">
        <f aca="false">IF(K974="","Open",IF(K974&lt;=L974,"Yes","No"))</f>
        <v>Yes</v>
      </c>
    </row>
    <row r="975" customFormat="false" ht="15" hidden="false" customHeight="false" outlineLevel="0" collapsed="false">
      <c r="A975" s="2" t="s">
        <v>1009</v>
      </c>
      <c r="B975" s="7" t="n">
        <v>46167.3055555556</v>
      </c>
      <c r="C975" s="7" t="n">
        <v>46167.5458333333</v>
      </c>
      <c r="D975" s="2" t="s">
        <v>42</v>
      </c>
      <c r="E975" s="2" t="s">
        <v>35</v>
      </c>
      <c r="F975" s="2" t="s">
        <v>27</v>
      </c>
      <c r="G975" s="2" t="s">
        <v>29</v>
      </c>
      <c r="H975" s="2" t="n">
        <v>5</v>
      </c>
      <c r="I975" s="2" t="str">
        <f aca="false">IF(C975="","Open","Resolved")</f>
        <v>Resolved</v>
      </c>
      <c r="J975" s="2" t="str">
        <f aca="false">TEXT(B975,"yyyy-mm")</f>
        <v>2026-05</v>
      </c>
      <c r="K975" s="8" t="n">
        <f aca="false">IF(C975="","",ROUND((C975-B975)*24,2))</f>
        <v>5.77</v>
      </c>
      <c r="L975" s="2" t="n">
        <f aca="false">INDEX('SLA Policy'!$B$2:$B$5,MATCH(E975,'SLA Policy'!$A$2:$A$5,0))</f>
        <v>24</v>
      </c>
      <c r="M975" s="2" t="str">
        <f aca="false">IF(K975="","Open",IF(K975&lt;=L975,"Yes","No"))</f>
        <v>Yes</v>
      </c>
    </row>
    <row r="976" customFormat="false" ht="15" hidden="false" customHeight="false" outlineLevel="0" collapsed="false">
      <c r="A976" s="2" t="s">
        <v>1010</v>
      </c>
      <c r="B976" s="7" t="n">
        <v>46167.30625</v>
      </c>
      <c r="C976" s="7" t="n">
        <v>46168.8611111111</v>
      </c>
      <c r="D976" s="2" t="s">
        <v>31</v>
      </c>
      <c r="E976" s="2" t="s">
        <v>35</v>
      </c>
      <c r="F976" s="2" t="s">
        <v>24</v>
      </c>
      <c r="G976" s="2" t="s">
        <v>33</v>
      </c>
      <c r="H976" s="2" t="n">
        <v>3</v>
      </c>
      <c r="I976" s="2" t="str">
        <f aca="false">IF(C976="","Open","Resolved")</f>
        <v>Resolved</v>
      </c>
      <c r="J976" s="2" t="str">
        <f aca="false">TEXT(B976,"yyyy-mm")</f>
        <v>2026-05</v>
      </c>
      <c r="K976" s="8" t="n">
        <f aca="false">IF(C976="","",ROUND((C976-B976)*24,2))</f>
        <v>37.32</v>
      </c>
      <c r="L976" s="2" t="n">
        <f aca="false">INDEX('SLA Policy'!$B$2:$B$5,MATCH(E976,'SLA Policy'!$A$2:$A$5,0))</f>
        <v>24</v>
      </c>
      <c r="M976" s="2" t="str">
        <f aca="false">IF(K976="","Open",IF(K976&lt;=L976,"Yes","No"))</f>
        <v>No</v>
      </c>
    </row>
    <row r="977" customFormat="false" ht="15" hidden="false" customHeight="false" outlineLevel="0" collapsed="false">
      <c r="A977" s="2" t="s">
        <v>1011</v>
      </c>
      <c r="B977" s="7" t="n">
        <v>46167.3833333333</v>
      </c>
      <c r="C977" s="7" t="n">
        <v>46168.5826388889</v>
      </c>
      <c r="D977" s="2" t="s">
        <v>22</v>
      </c>
      <c r="E977" s="2" t="s">
        <v>35</v>
      </c>
      <c r="F977" s="2" t="s">
        <v>24</v>
      </c>
      <c r="G977" s="2" t="s">
        <v>25</v>
      </c>
      <c r="H977" s="2" t="n">
        <v>4</v>
      </c>
      <c r="I977" s="2" t="str">
        <f aca="false">IF(C977="","Open","Resolved")</f>
        <v>Resolved</v>
      </c>
      <c r="J977" s="2" t="str">
        <f aca="false">TEXT(B977,"yyyy-mm")</f>
        <v>2026-05</v>
      </c>
      <c r="K977" s="8" t="n">
        <f aca="false">IF(C977="","",ROUND((C977-B977)*24,2))</f>
        <v>28.78</v>
      </c>
      <c r="L977" s="2" t="n">
        <f aca="false">INDEX('SLA Policy'!$B$2:$B$5,MATCH(E977,'SLA Policy'!$A$2:$A$5,0))</f>
        <v>24</v>
      </c>
      <c r="M977" s="2" t="str">
        <f aca="false">IF(K977="","Open",IF(K977&lt;=L977,"Yes","No"))</f>
        <v>No</v>
      </c>
    </row>
    <row r="978" customFormat="false" ht="15" hidden="false" customHeight="false" outlineLevel="0" collapsed="false">
      <c r="A978" s="2" t="s">
        <v>1012</v>
      </c>
      <c r="B978" s="7" t="n">
        <v>46167.5034722222</v>
      </c>
      <c r="C978" s="7" t="n">
        <v>46168.55625</v>
      </c>
      <c r="D978" s="2" t="s">
        <v>42</v>
      </c>
      <c r="E978" s="2" t="s">
        <v>32</v>
      </c>
      <c r="F978" s="2" t="s">
        <v>27</v>
      </c>
      <c r="G978" s="2" t="s">
        <v>29</v>
      </c>
      <c r="H978" s="2" t="n">
        <v>4</v>
      </c>
      <c r="I978" s="2" t="str">
        <f aca="false">IF(C978="","Open","Resolved")</f>
        <v>Resolved</v>
      </c>
      <c r="J978" s="2" t="str">
        <f aca="false">TEXT(B978,"yyyy-mm")</f>
        <v>2026-05</v>
      </c>
      <c r="K978" s="8" t="n">
        <f aca="false">IF(C978="","",ROUND((C978-B978)*24,2))</f>
        <v>25.27</v>
      </c>
      <c r="L978" s="2" t="n">
        <f aca="false">INDEX('SLA Policy'!$B$2:$B$5,MATCH(E978,'SLA Policy'!$A$2:$A$5,0))</f>
        <v>72</v>
      </c>
      <c r="M978" s="2" t="str">
        <f aca="false">IF(K978="","Open",IF(K978&lt;=L978,"Yes","No"))</f>
        <v>Yes</v>
      </c>
    </row>
    <row r="979" customFormat="false" ht="15" hidden="false" customHeight="false" outlineLevel="0" collapsed="false">
      <c r="A979" s="2" t="s">
        <v>1013</v>
      </c>
      <c r="B979" s="7" t="n">
        <v>46167.6770833333</v>
      </c>
      <c r="C979" s="7" t="n">
        <v>46168.1840277778</v>
      </c>
      <c r="D979" s="2" t="s">
        <v>42</v>
      </c>
      <c r="E979" s="2" t="s">
        <v>35</v>
      </c>
      <c r="F979" s="2" t="s">
        <v>38</v>
      </c>
      <c r="G979" s="2" t="s">
        <v>29</v>
      </c>
      <c r="H979" s="2" t="n">
        <v>4</v>
      </c>
      <c r="I979" s="2" t="str">
        <f aca="false">IF(C979="","Open","Resolved")</f>
        <v>Resolved</v>
      </c>
      <c r="J979" s="2" t="str">
        <f aca="false">TEXT(B979,"yyyy-mm")</f>
        <v>2026-05</v>
      </c>
      <c r="K979" s="8" t="n">
        <f aca="false">IF(C979="","",ROUND((C979-B979)*24,2))</f>
        <v>12.17</v>
      </c>
      <c r="L979" s="2" t="n">
        <f aca="false">INDEX('SLA Policy'!$B$2:$B$5,MATCH(E979,'SLA Policy'!$A$2:$A$5,0))</f>
        <v>24</v>
      </c>
      <c r="M979" s="2" t="str">
        <f aca="false">IF(K979="","Open",IF(K979&lt;=L979,"Yes","No"))</f>
        <v>Yes</v>
      </c>
    </row>
    <row r="980" customFormat="false" ht="15" hidden="false" customHeight="false" outlineLevel="0" collapsed="false">
      <c r="A980" s="2" t="s">
        <v>1014</v>
      </c>
      <c r="B980" s="7" t="n">
        <v>46168.3895833333</v>
      </c>
      <c r="C980" s="7" t="n">
        <v>46168.6381944444</v>
      </c>
      <c r="D980" s="2" t="s">
        <v>42</v>
      </c>
      <c r="E980" s="2" t="s">
        <v>35</v>
      </c>
      <c r="F980" s="2" t="s">
        <v>38</v>
      </c>
      <c r="G980" s="2" t="s">
        <v>29</v>
      </c>
      <c r="H980" s="2" t="n">
        <v>5</v>
      </c>
      <c r="I980" s="2" t="str">
        <f aca="false">IF(C980="","Open","Resolved")</f>
        <v>Resolved</v>
      </c>
      <c r="J980" s="2" t="str">
        <f aca="false">TEXT(B980,"yyyy-mm")</f>
        <v>2026-05</v>
      </c>
      <c r="K980" s="8" t="n">
        <f aca="false">IF(C980="","",ROUND((C980-B980)*24,2))</f>
        <v>5.97</v>
      </c>
      <c r="L980" s="2" t="n">
        <f aca="false">INDEX('SLA Policy'!$B$2:$B$5,MATCH(E980,'SLA Policy'!$A$2:$A$5,0))</f>
        <v>24</v>
      </c>
      <c r="M980" s="2" t="str">
        <f aca="false">IF(K980="","Open",IF(K980&lt;=L980,"Yes","No"))</f>
        <v>Yes</v>
      </c>
    </row>
    <row r="981" customFormat="false" ht="15" hidden="false" customHeight="false" outlineLevel="0" collapsed="false">
      <c r="A981" s="2" t="s">
        <v>1015</v>
      </c>
      <c r="B981" s="7" t="n">
        <v>46168.4548611111</v>
      </c>
      <c r="C981" s="7" t="n">
        <v>46170.2875</v>
      </c>
      <c r="D981" s="2" t="s">
        <v>22</v>
      </c>
      <c r="E981" s="2" t="s">
        <v>35</v>
      </c>
      <c r="F981" s="2" t="s">
        <v>27</v>
      </c>
      <c r="G981" s="2" t="s">
        <v>25</v>
      </c>
      <c r="H981" s="2" t="n">
        <v>3</v>
      </c>
      <c r="I981" s="2" t="str">
        <f aca="false">IF(C981="","Open","Resolved")</f>
        <v>Resolved</v>
      </c>
      <c r="J981" s="2" t="str">
        <f aca="false">TEXT(B981,"yyyy-mm")</f>
        <v>2026-05</v>
      </c>
      <c r="K981" s="8" t="n">
        <f aca="false">IF(C981="","",ROUND((C981-B981)*24,2))</f>
        <v>43.98</v>
      </c>
      <c r="L981" s="2" t="n">
        <f aca="false">INDEX('SLA Policy'!$B$2:$B$5,MATCH(E981,'SLA Policy'!$A$2:$A$5,0))</f>
        <v>24</v>
      </c>
      <c r="M981" s="2" t="str">
        <f aca="false">IF(K981="","Open",IF(K981&lt;=L981,"Yes","No"))</f>
        <v>No</v>
      </c>
    </row>
    <row r="982" customFormat="false" ht="15" hidden="false" customHeight="false" outlineLevel="0" collapsed="false">
      <c r="A982" s="2" t="s">
        <v>1016</v>
      </c>
      <c r="B982" s="7" t="n">
        <v>46168.5034722222</v>
      </c>
      <c r="C982" s="7" t="n">
        <v>46168.8111111111</v>
      </c>
      <c r="D982" s="2" t="s">
        <v>27</v>
      </c>
      <c r="E982" s="2" t="s">
        <v>35</v>
      </c>
      <c r="F982" s="2" t="s">
        <v>24</v>
      </c>
      <c r="G982" s="2" t="s">
        <v>29</v>
      </c>
      <c r="H982" s="2" t="n">
        <v>4</v>
      </c>
      <c r="I982" s="2" t="str">
        <f aca="false">IF(C982="","Open","Resolved")</f>
        <v>Resolved</v>
      </c>
      <c r="J982" s="2" t="str">
        <f aca="false">TEXT(B982,"yyyy-mm")</f>
        <v>2026-05</v>
      </c>
      <c r="K982" s="8" t="n">
        <f aca="false">IF(C982="","",ROUND((C982-B982)*24,2))</f>
        <v>7.38</v>
      </c>
      <c r="L982" s="2" t="n">
        <f aca="false">INDEX('SLA Policy'!$B$2:$B$5,MATCH(E982,'SLA Policy'!$A$2:$A$5,0))</f>
        <v>24</v>
      </c>
      <c r="M982" s="2" t="str">
        <f aca="false">IF(K982="","Open",IF(K982&lt;=L982,"Yes","No"))</f>
        <v>Yes</v>
      </c>
    </row>
    <row r="983" customFormat="false" ht="15" hidden="false" customHeight="false" outlineLevel="0" collapsed="false">
      <c r="A983" s="2" t="s">
        <v>1017</v>
      </c>
      <c r="B983" s="7" t="n">
        <v>46168.5236111111</v>
      </c>
      <c r="C983" s="7" t="n">
        <v>46169.5465277778</v>
      </c>
      <c r="D983" s="2" t="s">
        <v>42</v>
      </c>
      <c r="E983" s="2" t="s">
        <v>32</v>
      </c>
      <c r="F983" s="2" t="s">
        <v>24</v>
      </c>
      <c r="G983" s="2" t="s">
        <v>29</v>
      </c>
      <c r="H983" s="2" t="n">
        <v>4</v>
      </c>
      <c r="I983" s="2" t="str">
        <f aca="false">IF(C983="","Open","Resolved")</f>
        <v>Resolved</v>
      </c>
      <c r="J983" s="2" t="str">
        <f aca="false">TEXT(B983,"yyyy-mm")</f>
        <v>2026-05</v>
      </c>
      <c r="K983" s="8" t="n">
        <f aca="false">IF(C983="","",ROUND((C983-B983)*24,2))</f>
        <v>24.55</v>
      </c>
      <c r="L983" s="2" t="n">
        <f aca="false">INDEX('SLA Policy'!$B$2:$B$5,MATCH(E983,'SLA Policy'!$A$2:$A$5,0))</f>
        <v>72</v>
      </c>
      <c r="M983" s="2" t="str">
        <f aca="false">IF(K983="","Open",IF(K983&lt;=L983,"Yes","No"))</f>
        <v>Yes</v>
      </c>
    </row>
    <row r="984" customFormat="false" ht="15" hidden="false" customHeight="false" outlineLevel="0" collapsed="false">
      <c r="A984" s="2" t="s">
        <v>1018</v>
      </c>
      <c r="B984" s="7" t="n">
        <v>46168.5861111111</v>
      </c>
      <c r="C984" s="7" t="n">
        <v>46173.0111111111</v>
      </c>
      <c r="D984" s="2" t="s">
        <v>48</v>
      </c>
      <c r="E984" s="2" t="s">
        <v>32</v>
      </c>
      <c r="F984" s="2" t="s">
        <v>24</v>
      </c>
      <c r="G984" s="2" t="s">
        <v>25</v>
      </c>
      <c r="H984" s="2" t="n">
        <v>1</v>
      </c>
      <c r="I984" s="2" t="str">
        <f aca="false">IF(C984="","Open","Resolved")</f>
        <v>Resolved</v>
      </c>
      <c r="J984" s="2" t="str">
        <f aca="false">TEXT(B984,"yyyy-mm")</f>
        <v>2026-05</v>
      </c>
      <c r="K984" s="8" t="n">
        <f aca="false">IF(C984="","",ROUND((C984-B984)*24,2))</f>
        <v>106.2</v>
      </c>
      <c r="L984" s="2" t="n">
        <f aca="false">INDEX('SLA Policy'!$B$2:$B$5,MATCH(E984,'SLA Policy'!$A$2:$A$5,0))</f>
        <v>72</v>
      </c>
      <c r="M984" s="2" t="str">
        <f aca="false">IF(K984="","Open",IF(K984&lt;=L984,"Yes","No"))</f>
        <v>No</v>
      </c>
    </row>
    <row r="985" customFormat="false" ht="15" hidden="false" customHeight="false" outlineLevel="0" collapsed="false">
      <c r="A985" s="2" t="s">
        <v>1019</v>
      </c>
      <c r="B985" s="7" t="n">
        <v>46168.6708333333</v>
      </c>
      <c r="C985" s="7" t="n">
        <v>46169.725</v>
      </c>
      <c r="D985" s="2" t="s">
        <v>42</v>
      </c>
      <c r="E985" s="2" t="s">
        <v>35</v>
      </c>
      <c r="F985" s="2" t="s">
        <v>38</v>
      </c>
      <c r="G985" s="2" t="s">
        <v>29</v>
      </c>
      <c r="H985" s="2" t="n">
        <v>3</v>
      </c>
      <c r="I985" s="2" t="str">
        <f aca="false">IF(C985="","Open","Resolved")</f>
        <v>Resolved</v>
      </c>
      <c r="J985" s="2" t="str">
        <f aca="false">TEXT(B985,"yyyy-mm")</f>
        <v>2026-05</v>
      </c>
      <c r="K985" s="8" t="n">
        <f aca="false">IF(C985="","",ROUND((C985-B985)*24,2))</f>
        <v>25.3</v>
      </c>
      <c r="L985" s="2" t="n">
        <f aca="false">INDEX('SLA Policy'!$B$2:$B$5,MATCH(E985,'SLA Policy'!$A$2:$A$5,0))</f>
        <v>24</v>
      </c>
      <c r="M985" s="2" t="str">
        <f aca="false">IF(K985="","Open",IF(K985&lt;=L985,"Yes","No"))</f>
        <v>No</v>
      </c>
    </row>
    <row r="986" customFormat="false" ht="15" hidden="false" customHeight="false" outlineLevel="0" collapsed="false">
      <c r="A986" s="2" t="s">
        <v>1020</v>
      </c>
      <c r="B986" s="7" t="n">
        <v>46168.6798611111</v>
      </c>
      <c r="C986" s="7" t="n">
        <v>46170.48125</v>
      </c>
      <c r="D986" s="2" t="s">
        <v>31</v>
      </c>
      <c r="E986" s="2" t="s">
        <v>32</v>
      </c>
      <c r="F986" s="2" t="s">
        <v>27</v>
      </c>
      <c r="G986" s="2" t="s">
        <v>33</v>
      </c>
      <c r="H986" s="2" t="n">
        <v>2</v>
      </c>
      <c r="I986" s="2" t="str">
        <f aca="false">IF(C986="","Open","Resolved")</f>
        <v>Resolved</v>
      </c>
      <c r="J986" s="2" t="str">
        <f aca="false">TEXT(B986,"yyyy-mm")</f>
        <v>2026-05</v>
      </c>
      <c r="K986" s="8" t="n">
        <f aca="false">IF(C986="","",ROUND((C986-B986)*24,2))</f>
        <v>43.23</v>
      </c>
      <c r="L986" s="2" t="n">
        <f aca="false">INDEX('SLA Policy'!$B$2:$B$5,MATCH(E986,'SLA Policy'!$A$2:$A$5,0))</f>
        <v>72</v>
      </c>
      <c r="M986" s="2" t="str">
        <f aca="false">IF(K986="","Open",IF(K986&lt;=L986,"Yes","No"))</f>
        <v>Yes</v>
      </c>
    </row>
    <row r="987" customFormat="false" ht="15" hidden="false" customHeight="false" outlineLevel="0" collapsed="false">
      <c r="A987" s="2" t="s">
        <v>1021</v>
      </c>
      <c r="B987" s="7" t="n">
        <v>46168.7069444444</v>
      </c>
      <c r="C987" s="7" t="n">
        <v>46169.7263888889</v>
      </c>
      <c r="D987" s="2" t="s">
        <v>42</v>
      </c>
      <c r="E987" s="2" t="s">
        <v>32</v>
      </c>
      <c r="F987" s="2" t="s">
        <v>28</v>
      </c>
      <c r="G987" s="2" t="s">
        <v>29</v>
      </c>
      <c r="H987" s="2" t="n">
        <v>4</v>
      </c>
      <c r="I987" s="2" t="str">
        <f aca="false">IF(C987="","Open","Resolved")</f>
        <v>Resolved</v>
      </c>
      <c r="J987" s="2" t="str">
        <f aca="false">TEXT(B987,"yyyy-mm")</f>
        <v>2026-05</v>
      </c>
      <c r="K987" s="8" t="n">
        <f aca="false">IF(C987="","",ROUND((C987-B987)*24,2))</f>
        <v>24.47</v>
      </c>
      <c r="L987" s="2" t="n">
        <f aca="false">INDEX('SLA Policy'!$B$2:$B$5,MATCH(E987,'SLA Policy'!$A$2:$A$5,0))</f>
        <v>72</v>
      </c>
      <c r="M987" s="2" t="str">
        <f aca="false">IF(K987="","Open",IF(K987&lt;=L987,"Yes","No"))</f>
        <v>Yes</v>
      </c>
    </row>
    <row r="988" customFormat="false" ht="15" hidden="false" customHeight="false" outlineLevel="0" collapsed="false">
      <c r="A988" s="2" t="s">
        <v>1022</v>
      </c>
      <c r="B988" s="7" t="n">
        <v>46169.4111111111</v>
      </c>
      <c r="C988" s="7" t="n">
        <v>46169.5381944445</v>
      </c>
      <c r="D988" s="2" t="s">
        <v>42</v>
      </c>
      <c r="E988" s="2" t="s">
        <v>23</v>
      </c>
      <c r="F988" s="2" t="s">
        <v>24</v>
      </c>
      <c r="G988" s="2" t="s">
        <v>29</v>
      </c>
      <c r="H988" s="2" t="n">
        <v>4</v>
      </c>
      <c r="I988" s="2" t="str">
        <f aca="false">IF(C988="","Open","Resolved")</f>
        <v>Resolved</v>
      </c>
      <c r="J988" s="2" t="str">
        <f aca="false">TEXT(B988,"yyyy-mm")</f>
        <v>2026-05</v>
      </c>
      <c r="K988" s="8" t="n">
        <f aca="false">IF(C988="","",ROUND((C988-B988)*24,2))</f>
        <v>3.05</v>
      </c>
      <c r="L988" s="2" t="n">
        <f aca="false">INDEX('SLA Policy'!$B$2:$B$5,MATCH(E988,'SLA Policy'!$A$2:$A$5,0))</f>
        <v>8</v>
      </c>
      <c r="M988" s="2" t="str">
        <f aca="false">IF(K988="","Open",IF(K988&lt;=L988,"Yes","No"))</f>
        <v>Yes</v>
      </c>
    </row>
    <row r="989" customFormat="false" ht="15" hidden="false" customHeight="false" outlineLevel="0" collapsed="false">
      <c r="A989" s="2" t="s">
        <v>1023</v>
      </c>
      <c r="B989" s="7" t="n">
        <v>46169.4347222222</v>
      </c>
      <c r="C989" s="7" t="n">
        <v>46171.8701388889</v>
      </c>
      <c r="D989" s="2" t="s">
        <v>22</v>
      </c>
      <c r="E989" s="2" t="s">
        <v>35</v>
      </c>
      <c r="F989" s="2" t="s">
        <v>24</v>
      </c>
      <c r="G989" s="2" t="s">
        <v>25</v>
      </c>
      <c r="H989" s="2" t="n">
        <v>2</v>
      </c>
      <c r="I989" s="2" t="str">
        <f aca="false">IF(C989="","Open","Resolved")</f>
        <v>Resolved</v>
      </c>
      <c r="J989" s="2" t="str">
        <f aca="false">TEXT(B989,"yyyy-mm")</f>
        <v>2026-05</v>
      </c>
      <c r="K989" s="8" t="n">
        <f aca="false">IF(C989="","",ROUND((C989-B989)*24,2))</f>
        <v>58.45</v>
      </c>
      <c r="L989" s="2" t="n">
        <f aca="false">INDEX('SLA Policy'!$B$2:$B$5,MATCH(E989,'SLA Policy'!$A$2:$A$5,0))</f>
        <v>24</v>
      </c>
      <c r="M989" s="2" t="str">
        <f aca="false">IF(K989="","Open",IF(K989&lt;=L989,"Yes","No"))</f>
        <v>No</v>
      </c>
    </row>
    <row r="990" customFormat="false" ht="15" hidden="false" customHeight="false" outlineLevel="0" collapsed="false">
      <c r="A990" s="2" t="s">
        <v>1024</v>
      </c>
      <c r="B990" s="7" t="n">
        <v>46169.4604166667</v>
      </c>
      <c r="C990" s="7" t="n">
        <v>46169.7902777778</v>
      </c>
      <c r="D990" s="2" t="s">
        <v>42</v>
      </c>
      <c r="E990" s="2" t="s">
        <v>35</v>
      </c>
      <c r="F990" s="2" t="s">
        <v>27</v>
      </c>
      <c r="G990" s="2" t="s">
        <v>29</v>
      </c>
      <c r="H990" s="2" t="n">
        <v>5</v>
      </c>
      <c r="I990" s="2" t="str">
        <f aca="false">IF(C990="","Open","Resolved")</f>
        <v>Resolved</v>
      </c>
      <c r="J990" s="2" t="str">
        <f aca="false">TEXT(B990,"yyyy-mm")</f>
        <v>2026-05</v>
      </c>
      <c r="K990" s="8" t="n">
        <f aca="false">IF(C990="","",ROUND((C990-B990)*24,2))</f>
        <v>7.92</v>
      </c>
      <c r="L990" s="2" t="n">
        <f aca="false">INDEX('SLA Policy'!$B$2:$B$5,MATCH(E990,'SLA Policy'!$A$2:$A$5,0))</f>
        <v>24</v>
      </c>
      <c r="M990" s="2" t="str">
        <f aca="false">IF(K990="","Open",IF(K990&lt;=L990,"Yes","No"))</f>
        <v>Yes</v>
      </c>
    </row>
    <row r="991" customFormat="false" ht="15" hidden="false" customHeight="false" outlineLevel="0" collapsed="false">
      <c r="A991" s="2" t="s">
        <v>1025</v>
      </c>
      <c r="B991" s="7" t="n">
        <v>46169.6069444444</v>
      </c>
      <c r="C991" s="7" t="n">
        <v>46170.0423611111</v>
      </c>
      <c r="D991" s="2" t="s">
        <v>48</v>
      </c>
      <c r="E991" s="2" t="s">
        <v>23</v>
      </c>
      <c r="F991" s="2" t="s">
        <v>24</v>
      </c>
      <c r="G991" s="2" t="s">
        <v>25</v>
      </c>
      <c r="H991" s="2" t="n">
        <v>4</v>
      </c>
      <c r="I991" s="2" t="str">
        <f aca="false">IF(C991="","Open","Resolved")</f>
        <v>Resolved</v>
      </c>
      <c r="J991" s="2" t="str">
        <f aca="false">TEXT(B991,"yyyy-mm")</f>
        <v>2026-05</v>
      </c>
      <c r="K991" s="8" t="n">
        <f aca="false">IF(C991="","",ROUND((C991-B991)*24,2))</f>
        <v>10.45</v>
      </c>
      <c r="L991" s="2" t="n">
        <f aca="false">INDEX('SLA Policy'!$B$2:$B$5,MATCH(E991,'SLA Policy'!$A$2:$A$5,0))</f>
        <v>8</v>
      </c>
      <c r="M991" s="2" t="str">
        <f aca="false">IF(K991="","Open",IF(K991&lt;=L991,"Yes","No"))</f>
        <v>No</v>
      </c>
    </row>
    <row r="992" customFormat="false" ht="15" hidden="false" customHeight="false" outlineLevel="0" collapsed="false">
      <c r="A992" s="2" t="s">
        <v>1026</v>
      </c>
      <c r="B992" s="7" t="n">
        <v>46169.6930555556</v>
      </c>
      <c r="C992" s="7" t="n">
        <v>46169.8284722222</v>
      </c>
      <c r="D992" s="2" t="s">
        <v>31</v>
      </c>
      <c r="E992" s="2" t="s">
        <v>23</v>
      </c>
      <c r="F992" s="2" t="s">
        <v>27</v>
      </c>
      <c r="G992" s="2" t="s">
        <v>33</v>
      </c>
      <c r="H992" s="2" t="n">
        <v>5</v>
      </c>
      <c r="I992" s="2" t="str">
        <f aca="false">IF(C992="","Open","Resolved")</f>
        <v>Resolved</v>
      </c>
      <c r="J992" s="2" t="str">
        <f aca="false">TEXT(B992,"yyyy-mm")</f>
        <v>2026-05</v>
      </c>
      <c r="K992" s="8" t="n">
        <f aca="false">IF(C992="","",ROUND((C992-B992)*24,2))</f>
        <v>3.25</v>
      </c>
      <c r="L992" s="2" t="n">
        <f aca="false">INDEX('SLA Policy'!$B$2:$B$5,MATCH(E992,'SLA Policy'!$A$2:$A$5,0))</f>
        <v>8</v>
      </c>
      <c r="M992" s="2" t="str">
        <f aca="false">IF(K992="","Open",IF(K992&lt;=L992,"Yes","No"))</f>
        <v>Yes</v>
      </c>
    </row>
    <row r="993" customFormat="false" ht="15" hidden="false" customHeight="false" outlineLevel="0" collapsed="false">
      <c r="A993" s="2" t="s">
        <v>1027</v>
      </c>
      <c r="B993" s="7" t="n">
        <v>46169.6944444445</v>
      </c>
      <c r="C993" s="7" t="n">
        <v>46170.6381944444</v>
      </c>
      <c r="D993" s="2" t="s">
        <v>22</v>
      </c>
      <c r="E993" s="2" t="s">
        <v>35</v>
      </c>
      <c r="F993" s="2" t="s">
        <v>24</v>
      </c>
      <c r="G993" s="2" t="s">
        <v>25</v>
      </c>
      <c r="H993" s="2" t="n">
        <v>4</v>
      </c>
      <c r="I993" s="2" t="str">
        <f aca="false">IF(C993="","Open","Resolved")</f>
        <v>Resolved</v>
      </c>
      <c r="J993" s="2" t="str">
        <f aca="false">TEXT(B993,"yyyy-mm")</f>
        <v>2026-05</v>
      </c>
      <c r="K993" s="8" t="n">
        <f aca="false">IF(C993="","",ROUND((C993-B993)*24,2))</f>
        <v>22.65</v>
      </c>
      <c r="L993" s="2" t="n">
        <f aca="false">INDEX('SLA Policy'!$B$2:$B$5,MATCH(E993,'SLA Policy'!$A$2:$A$5,0))</f>
        <v>24</v>
      </c>
      <c r="M993" s="2" t="str">
        <f aca="false">IF(K993="","Open",IF(K993&lt;=L993,"Yes","No"))</f>
        <v>Yes</v>
      </c>
    </row>
    <row r="994" customFormat="false" ht="15" hidden="false" customHeight="false" outlineLevel="0" collapsed="false">
      <c r="A994" s="2" t="s">
        <v>1028</v>
      </c>
      <c r="B994" s="7" t="n">
        <v>46169.7090277778</v>
      </c>
      <c r="C994" s="7" t="n">
        <v>46170.4402777778</v>
      </c>
      <c r="D994" s="2" t="s">
        <v>48</v>
      </c>
      <c r="E994" s="2" t="s">
        <v>35</v>
      </c>
      <c r="F994" s="2" t="s">
        <v>24</v>
      </c>
      <c r="G994" s="2" t="s">
        <v>25</v>
      </c>
      <c r="H994" s="2" t="n">
        <v>5</v>
      </c>
      <c r="I994" s="2" t="str">
        <f aca="false">IF(C994="","Open","Resolved")</f>
        <v>Resolved</v>
      </c>
      <c r="J994" s="2" t="str">
        <f aca="false">TEXT(B994,"yyyy-mm")</f>
        <v>2026-05</v>
      </c>
      <c r="K994" s="8" t="n">
        <f aca="false">IF(C994="","",ROUND((C994-B994)*24,2))</f>
        <v>17.55</v>
      </c>
      <c r="L994" s="2" t="n">
        <f aca="false">INDEX('SLA Policy'!$B$2:$B$5,MATCH(E994,'SLA Policy'!$A$2:$A$5,0))</f>
        <v>24</v>
      </c>
      <c r="M994" s="2" t="str">
        <f aca="false">IF(K994="","Open",IF(K994&lt;=L994,"Yes","No"))</f>
        <v>Yes</v>
      </c>
    </row>
    <row r="995" customFormat="false" ht="15" hidden="false" customHeight="false" outlineLevel="0" collapsed="false">
      <c r="A995" s="2" t="s">
        <v>1029</v>
      </c>
      <c r="B995" s="7" t="n">
        <v>46170.3298611111</v>
      </c>
      <c r="C995" s="7" t="n">
        <v>46173.4131944445</v>
      </c>
      <c r="D995" s="2" t="s">
        <v>22</v>
      </c>
      <c r="E995" s="2" t="s">
        <v>35</v>
      </c>
      <c r="F995" s="2" t="s">
        <v>27</v>
      </c>
      <c r="G995" s="2" t="s">
        <v>25</v>
      </c>
      <c r="H995" s="2" t="n">
        <v>2</v>
      </c>
      <c r="I995" s="2" t="str">
        <f aca="false">IF(C995="","Open","Resolved")</f>
        <v>Resolved</v>
      </c>
      <c r="J995" s="2" t="str">
        <f aca="false">TEXT(B995,"yyyy-mm")</f>
        <v>2026-05</v>
      </c>
      <c r="K995" s="8" t="n">
        <f aca="false">IF(C995="","",ROUND((C995-B995)*24,2))</f>
        <v>74</v>
      </c>
      <c r="L995" s="2" t="n">
        <f aca="false">INDEX('SLA Policy'!$B$2:$B$5,MATCH(E995,'SLA Policy'!$A$2:$A$5,0))</f>
        <v>24</v>
      </c>
      <c r="M995" s="2" t="str">
        <f aca="false">IF(K995="","Open",IF(K995&lt;=L995,"Yes","No"))</f>
        <v>No</v>
      </c>
    </row>
    <row r="996" customFormat="false" ht="15" hidden="false" customHeight="false" outlineLevel="0" collapsed="false">
      <c r="A996" s="2" t="s">
        <v>1030</v>
      </c>
      <c r="B996" s="7" t="n">
        <v>46170.3506944445</v>
      </c>
      <c r="C996" s="7" t="n">
        <v>46170.7722222222</v>
      </c>
      <c r="D996" s="2" t="s">
        <v>27</v>
      </c>
      <c r="E996" s="2" t="s">
        <v>23</v>
      </c>
      <c r="F996" s="2" t="s">
        <v>24</v>
      </c>
      <c r="G996" s="2" t="s">
        <v>29</v>
      </c>
      <c r="H996" s="2" t="n">
        <v>4</v>
      </c>
      <c r="I996" s="2" t="str">
        <f aca="false">IF(C996="","Open","Resolved")</f>
        <v>Resolved</v>
      </c>
      <c r="J996" s="2" t="str">
        <f aca="false">TEXT(B996,"yyyy-mm")</f>
        <v>2026-05</v>
      </c>
      <c r="K996" s="8" t="n">
        <f aca="false">IF(C996="","",ROUND((C996-B996)*24,2))</f>
        <v>10.12</v>
      </c>
      <c r="L996" s="2" t="n">
        <f aca="false">INDEX('SLA Policy'!$B$2:$B$5,MATCH(E996,'SLA Policy'!$A$2:$A$5,0))</f>
        <v>8</v>
      </c>
      <c r="M996" s="2" t="str">
        <f aca="false">IF(K996="","Open",IF(K996&lt;=L996,"Yes","No"))</f>
        <v>No</v>
      </c>
    </row>
    <row r="997" customFormat="false" ht="15" hidden="false" customHeight="false" outlineLevel="0" collapsed="false">
      <c r="A997" s="2" t="s">
        <v>1031</v>
      </c>
      <c r="B997" s="7" t="n">
        <v>46170.3604166667</v>
      </c>
      <c r="C997" s="7" t="n">
        <v>46170.9076388889</v>
      </c>
      <c r="D997" s="2" t="s">
        <v>22</v>
      </c>
      <c r="E997" s="2" t="s">
        <v>35</v>
      </c>
      <c r="F997" s="2" t="s">
        <v>38</v>
      </c>
      <c r="G997" s="2" t="s">
        <v>25</v>
      </c>
      <c r="H997" s="2" t="n">
        <v>3</v>
      </c>
      <c r="I997" s="2" t="str">
        <f aca="false">IF(C997="","Open","Resolved")</f>
        <v>Resolved</v>
      </c>
      <c r="J997" s="2" t="str">
        <f aca="false">TEXT(B997,"yyyy-mm")</f>
        <v>2026-05</v>
      </c>
      <c r="K997" s="8" t="n">
        <f aca="false">IF(C997="","",ROUND((C997-B997)*24,2))</f>
        <v>13.13</v>
      </c>
      <c r="L997" s="2" t="n">
        <f aca="false">INDEX('SLA Policy'!$B$2:$B$5,MATCH(E997,'SLA Policy'!$A$2:$A$5,0))</f>
        <v>24</v>
      </c>
      <c r="M997" s="2" t="str">
        <f aca="false">IF(K997="","Open",IF(K997&lt;=L997,"Yes","No"))</f>
        <v>Yes</v>
      </c>
    </row>
    <row r="998" customFormat="false" ht="15" hidden="false" customHeight="false" outlineLevel="0" collapsed="false">
      <c r="A998" s="2" t="s">
        <v>1032</v>
      </c>
      <c r="B998" s="7" t="n">
        <v>46170.3958333333</v>
      </c>
      <c r="C998" s="7" t="n">
        <v>46171.225</v>
      </c>
      <c r="D998" s="2" t="s">
        <v>22</v>
      </c>
      <c r="E998" s="2" t="s">
        <v>35</v>
      </c>
      <c r="F998" s="2" t="s">
        <v>24</v>
      </c>
      <c r="G998" s="2" t="s">
        <v>25</v>
      </c>
      <c r="H998" s="2" t="n">
        <v>4</v>
      </c>
      <c r="I998" s="2" t="str">
        <f aca="false">IF(C998="","Open","Resolved")</f>
        <v>Resolved</v>
      </c>
      <c r="J998" s="2" t="str">
        <f aca="false">TEXT(B998,"yyyy-mm")</f>
        <v>2026-05</v>
      </c>
      <c r="K998" s="8" t="n">
        <f aca="false">IF(C998="","",ROUND((C998-B998)*24,2))</f>
        <v>19.9</v>
      </c>
      <c r="L998" s="2" t="n">
        <f aca="false">INDEX('SLA Policy'!$B$2:$B$5,MATCH(E998,'SLA Policy'!$A$2:$A$5,0))</f>
        <v>24</v>
      </c>
      <c r="M998" s="2" t="str">
        <f aca="false">IF(K998="","Open",IF(K998&lt;=L998,"Yes","No"))</f>
        <v>Yes</v>
      </c>
    </row>
    <row r="999" customFormat="false" ht="15" hidden="false" customHeight="false" outlineLevel="0" collapsed="false">
      <c r="A999" s="2" t="s">
        <v>1033</v>
      </c>
      <c r="B999" s="7" t="n">
        <v>46170.44375</v>
      </c>
      <c r="C999" s="7" t="n">
        <v>46171.0604166667</v>
      </c>
      <c r="D999" s="2" t="s">
        <v>42</v>
      </c>
      <c r="E999" s="2" t="s">
        <v>32</v>
      </c>
      <c r="F999" s="2" t="s">
        <v>27</v>
      </c>
      <c r="G999" s="2" t="s">
        <v>29</v>
      </c>
      <c r="H999" s="2" t="n">
        <v>4</v>
      </c>
      <c r="I999" s="2" t="str">
        <f aca="false">IF(C999="","Open","Resolved")</f>
        <v>Resolved</v>
      </c>
      <c r="J999" s="2" t="str">
        <f aca="false">TEXT(B999,"yyyy-mm")</f>
        <v>2026-05</v>
      </c>
      <c r="K999" s="8" t="n">
        <f aca="false">IF(C999="","",ROUND((C999-B999)*24,2))</f>
        <v>14.8</v>
      </c>
      <c r="L999" s="2" t="n">
        <f aca="false">INDEX('SLA Policy'!$B$2:$B$5,MATCH(E999,'SLA Policy'!$A$2:$A$5,0))</f>
        <v>72</v>
      </c>
      <c r="M999" s="2" t="str">
        <f aca="false">IF(K999="","Open",IF(K999&lt;=L999,"Yes","No"))</f>
        <v>Yes</v>
      </c>
    </row>
    <row r="1000" customFormat="false" ht="15" hidden="false" customHeight="false" outlineLevel="0" collapsed="false">
      <c r="A1000" s="2" t="s">
        <v>1034</v>
      </c>
      <c r="B1000" s="7" t="n">
        <v>46170.5958333333</v>
      </c>
      <c r="C1000" s="7" t="n">
        <v>46170.8631944444</v>
      </c>
      <c r="D1000" s="2" t="s">
        <v>22</v>
      </c>
      <c r="E1000" s="2" t="s">
        <v>40</v>
      </c>
      <c r="F1000" s="2" t="s">
        <v>24</v>
      </c>
      <c r="G1000" s="2" t="s">
        <v>25</v>
      </c>
      <c r="H1000" s="2" t="n">
        <v>5</v>
      </c>
      <c r="I1000" s="2" t="str">
        <f aca="false">IF(C1000="","Open","Resolved")</f>
        <v>Resolved</v>
      </c>
      <c r="J1000" s="2" t="str">
        <f aca="false">TEXT(B1000,"yyyy-mm")</f>
        <v>2026-05</v>
      </c>
      <c r="K1000" s="8" t="n">
        <f aca="false">IF(C1000="","",ROUND((C1000-B1000)*24,2))</f>
        <v>6.42</v>
      </c>
      <c r="L1000" s="2" t="n">
        <f aca="false">INDEX('SLA Policy'!$B$2:$B$5,MATCH(E1000,'SLA Policy'!$A$2:$A$5,0))</f>
        <v>4</v>
      </c>
      <c r="M1000" s="2" t="str">
        <f aca="false">IF(K1000="","Open",IF(K1000&lt;=L1000,"Yes","No"))</f>
        <v>No</v>
      </c>
    </row>
    <row r="1001" customFormat="false" ht="15" hidden="false" customHeight="false" outlineLevel="0" collapsed="false">
      <c r="A1001" s="2" t="s">
        <v>1035</v>
      </c>
      <c r="B1001" s="7" t="n">
        <v>46170.6229166667</v>
      </c>
      <c r="C1001" s="7" t="n">
        <v>46171.06875</v>
      </c>
      <c r="D1001" s="2" t="s">
        <v>48</v>
      </c>
      <c r="E1001" s="2" t="s">
        <v>35</v>
      </c>
      <c r="F1001" s="2" t="s">
        <v>38</v>
      </c>
      <c r="G1001" s="2" t="s">
        <v>25</v>
      </c>
      <c r="H1001" s="2" t="n">
        <v>5</v>
      </c>
      <c r="I1001" s="2" t="str">
        <f aca="false">IF(C1001="","Open","Resolved")</f>
        <v>Resolved</v>
      </c>
      <c r="J1001" s="2" t="str">
        <f aca="false">TEXT(B1001,"yyyy-mm")</f>
        <v>2026-05</v>
      </c>
      <c r="K1001" s="8" t="n">
        <f aca="false">IF(C1001="","",ROUND((C1001-B1001)*24,2))</f>
        <v>10.7</v>
      </c>
      <c r="L1001" s="2" t="n">
        <f aca="false">INDEX('SLA Policy'!$B$2:$B$5,MATCH(E1001,'SLA Policy'!$A$2:$A$5,0))</f>
        <v>24</v>
      </c>
      <c r="M1001" s="2" t="str">
        <f aca="false">IF(K1001="","Open",IF(K1001&lt;=L1001,"Yes","No"))</f>
        <v>Yes</v>
      </c>
    </row>
    <row r="1002" customFormat="false" ht="15" hidden="false" customHeight="false" outlineLevel="0" collapsed="false">
      <c r="A1002" s="2" t="s">
        <v>1036</v>
      </c>
      <c r="B1002" s="7" t="n">
        <v>46170.6486111111</v>
      </c>
      <c r="C1002" s="7" t="n">
        <v>46171.3097222222</v>
      </c>
      <c r="D1002" s="2" t="s">
        <v>27</v>
      </c>
      <c r="E1002" s="2" t="s">
        <v>35</v>
      </c>
      <c r="F1002" s="2" t="s">
        <v>24</v>
      </c>
      <c r="G1002" s="2" t="s">
        <v>29</v>
      </c>
      <c r="H1002" s="2" t="n">
        <v>4</v>
      </c>
      <c r="I1002" s="2" t="str">
        <f aca="false">IF(C1002="","Open","Resolved")</f>
        <v>Resolved</v>
      </c>
      <c r="J1002" s="2" t="str">
        <f aca="false">TEXT(B1002,"yyyy-mm")</f>
        <v>2026-05</v>
      </c>
      <c r="K1002" s="8" t="n">
        <f aca="false">IF(C1002="","",ROUND((C1002-B1002)*24,2))</f>
        <v>15.87</v>
      </c>
      <c r="L1002" s="2" t="n">
        <f aca="false">INDEX('SLA Policy'!$B$2:$B$5,MATCH(E1002,'SLA Policy'!$A$2:$A$5,0))</f>
        <v>24</v>
      </c>
      <c r="M1002" s="2" t="str">
        <f aca="false">IF(K1002="","Open",IF(K1002&lt;=L1002,"Yes","No"))</f>
        <v>Yes</v>
      </c>
    </row>
    <row r="1003" customFormat="false" ht="15" hidden="false" customHeight="false" outlineLevel="0" collapsed="false">
      <c r="A1003" s="2" t="s">
        <v>1037</v>
      </c>
      <c r="B1003" s="7" t="n">
        <v>46170.7055555556</v>
      </c>
      <c r="C1003" s="7" t="n">
        <v>46173.39375</v>
      </c>
      <c r="D1003" s="2" t="s">
        <v>22</v>
      </c>
      <c r="E1003" s="2" t="s">
        <v>32</v>
      </c>
      <c r="F1003" s="2" t="s">
        <v>28</v>
      </c>
      <c r="G1003" s="2" t="s">
        <v>25</v>
      </c>
      <c r="H1003" s="2" t="n">
        <v>2</v>
      </c>
      <c r="I1003" s="2" t="str">
        <f aca="false">IF(C1003="","Open","Resolved")</f>
        <v>Resolved</v>
      </c>
      <c r="J1003" s="2" t="str">
        <f aca="false">TEXT(B1003,"yyyy-mm")</f>
        <v>2026-05</v>
      </c>
      <c r="K1003" s="8" t="n">
        <f aca="false">IF(C1003="","",ROUND((C1003-B1003)*24,2))</f>
        <v>64.52</v>
      </c>
      <c r="L1003" s="2" t="n">
        <f aca="false">INDEX('SLA Policy'!$B$2:$B$5,MATCH(E1003,'SLA Policy'!$A$2:$A$5,0))</f>
        <v>72</v>
      </c>
      <c r="M1003" s="2" t="str">
        <f aca="false">IF(K1003="","Open",IF(K1003&lt;=L1003,"Yes","No"))</f>
        <v>Yes</v>
      </c>
    </row>
    <row r="1004" customFormat="false" ht="15" hidden="false" customHeight="false" outlineLevel="0" collapsed="false">
      <c r="A1004" s="2" t="s">
        <v>1038</v>
      </c>
      <c r="B1004" s="7" t="n">
        <v>46171.3479166667</v>
      </c>
      <c r="C1004" s="7" t="n">
        <v>46172.0701388889</v>
      </c>
      <c r="D1004" s="2" t="s">
        <v>31</v>
      </c>
      <c r="E1004" s="2" t="s">
        <v>35</v>
      </c>
      <c r="F1004" s="2" t="s">
        <v>24</v>
      </c>
      <c r="G1004" s="2" t="s">
        <v>33</v>
      </c>
      <c r="H1004" s="2" t="n">
        <v>5</v>
      </c>
      <c r="I1004" s="2" t="str">
        <f aca="false">IF(C1004="","Open","Resolved")</f>
        <v>Resolved</v>
      </c>
      <c r="J1004" s="2" t="str">
        <f aca="false">TEXT(B1004,"yyyy-mm")</f>
        <v>2026-05</v>
      </c>
      <c r="K1004" s="8" t="n">
        <f aca="false">IF(C1004="","",ROUND((C1004-B1004)*24,2))</f>
        <v>17.33</v>
      </c>
      <c r="L1004" s="2" t="n">
        <f aca="false">INDEX('SLA Policy'!$B$2:$B$5,MATCH(E1004,'SLA Policy'!$A$2:$A$5,0))</f>
        <v>24</v>
      </c>
      <c r="M1004" s="2" t="str">
        <f aca="false">IF(K1004="","Open",IF(K1004&lt;=L1004,"Yes","No"))</f>
        <v>Yes</v>
      </c>
    </row>
    <row r="1005" customFormat="false" ht="15" hidden="false" customHeight="false" outlineLevel="0" collapsed="false">
      <c r="A1005" s="2" t="s">
        <v>1039</v>
      </c>
      <c r="B1005" s="7" t="n">
        <v>46171.3527777778</v>
      </c>
      <c r="C1005" s="7" t="n">
        <v>46172.9840277778</v>
      </c>
      <c r="D1005" s="2" t="s">
        <v>22</v>
      </c>
      <c r="E1005" s="2" t="s">
        <v>35</v>
      </c>
      <c r="F1005" s="2" t="s">
        <v>27</v>
      </c>
      <c r="G1005" s="2" t="s">
        <v>25</v>
      </c>
      <c r="H1005" s="2" t="n">
        <v>4</v>
      </c>
      <c r="I1005" s="2" t="str">
        <f aca="false">IF(C1005="","Open","Resolved")</f>
        <v>Resolved</v>
      </c>
      <c r="J1005" s="2" t="str">
        <f aca="false">TEXT(B1005,"yyyy-mm")</f>
        <v>2026-05</v>
      </c>
      <c r="K1005" s="8" t="n">
        <f aca="false">IF(C1005="","",ROUND((C1005-B1005)*24,2))</f>
        <v>39.15</v>
      </c>
      <c r="L1005" s="2" t="n">
        <f aca="false">INDEX('SLA Policy'!$B$2:$B$5,MATCH(E1005,'SLA Policy'!$A$2:$A$5,0))</f>
        <v>24</v>
      </c>
      <c r="M1005" s="2" t="str">
        <f aca="false">IF(K1005="","Open",IF(K1005&lt;=L1005,"Yes","No"))</f>
        <v>No</v>
      </c>
    </row>
    <row r="1006" customFormat="false" ht="15" hidden="false" customHeight="false" outlineLevel="0" collapsed="false">
      <c r="A1006" s="2" t="s">
        <v>1040</v>
      </c>
      <c r="B1006" s="7" t="n">
        <v>46171.4104166667</v>
      </c>
      <c r="C1006" s="7" t="n">
        <v>46173.2347222222</v>
      </c>
      <c r="D1006" s="2" t="s">
        <v>42</v>
      </c>
      <c r="E1006" s="2" t="s">
        <v>32</v>
      </c>
      <c r="F1006" s="2" t="s">
        <v>27</v>
      </c>
      <c r="G1006" s="2" t="s">
        <v>29</v>
      </c>
      <c r="H1006" s="2" t="n">
        <v>4</v>
      </c>
      <c r="I1006" s="2" t="str">
        <f aca="false">IF(C1006="","Open","Resolved")</f>
        <v>Resolved</v>
      </c>
      <c r="J1006" s="2" t="str">
        <f aca="false">TEXT(B1006,"yyyy-mm")</f>
        <v>2026-05</v>
      </c>
      <c r="K1006" s="8" t="n">
        <f aca="false">IF(C1006="","",ROUND((C1006-B1006)*24,2))</f>
        <v>43.78</v>
      </c>
      <c r="L1006" s="2" t="n">
        <f aca="false">INDEX('SLA Policy'!$B$2:$B$5,MATCH(E1006,'SLA Policy'!$A$2:$A$5,0))</f>
        <v>72</v>
      </c>
      <c r="M1006" s="2" t="str">
        <f aca="false">IF(K1006="","Open",IF(K1006&lt;=L1006,"Yes","No"))</f>
        <v>Yes</v>
      </c>
    </row>
    <row r="1007" customFormat="false" ht="15" hidden="false" customHeight="false" outlineLevel="0" collapsed="false">
      <c r="A1007" s="2" t="s">
        <v>1041</v>
      </c>
      <c r="B1007" s="7" t="n">
        <v>46171.5527777778</v>
      </c>
      <c r="C1007" s="7" t="n">
        <v>46172.4784722222</v>
      </c>
      <c r="D1007" s="2" t="s">
        <v>42</v>
      </c>
      <c r="E1007" s="2" t="s">
        <v>35</v>
      </c>
      <c r="F1007" s="2" t="s">
        <v>28</v>
      </c>
      <c r="G1007" s="2" t="s">
        <v>29</v>
      </c>
      <c r="H1007" s="2" t="n">
        <v>5</v>
      </c>
      <c r="I1007" s="2" t="str">
        <f aca="false">IF(C1007="","Open","Resolved")</f>
        <v>Resolved</v>
      </c>
      <c r="J1007" s="2" t="str">
        <f aca="false">TEXT(B1007,"yyyy-mm")</f>
        <v>2026-05</v>
      </c>
      <c r="K1007" s="8" t="n">
        <f aca="false">IF(C1007="","",ROUND((C1007-B1007)*24,2))</f>
        <v>22.22</v>
      </c>
      <c r="L1007" s="2" t="n">
        <f aca="false">INDEX('SLA Policy'!$B$2:$B$5,MATCH(E1007,'SLA Policy'!$A$2:$A$5,0))</f>
        <v>24</v>
      </c>
      <c r="M1007" s="2" t="str">
        <f aca="false">IF(K1007="","Open",IF(K1007&lt;=L1007,"Yes","No"))</f>
        <v>Yes</v>
      </c>
    </row>
    <row r="1008" customFormat="false" ht="15" hidden="false" customHeight="false" outlineLevel="0" collapsed="false">
      <c r="A1008" s="2" t="s">
        <v>1042</v>
      </c>
      <c r="B1008" s="7" t="n">
        <v>46171.6729166667</v>
      </c>
      <c r="C1008" s="7" t="n">
        <v>46172.0840277778</v>
      </c>
      <c r="D1008" s="2" t="s">
        <v>42</v>
      </c>
      <c r="E1008" s="2" t="s">
        <v>32</v>
      </c>
      <c r="F1008" s="2" t="s">
        <v>28</v>
      </c>
      <c r="G1008" s="2" t="s">
        <v>29</v>
      </c>
      <c r="H1008" s="2" t="n">
        <v>5</v>
      </c>
      <c r="I1008" s="2" t="str">
        <f aca="false">IF(C1008="","Open","Resolved")</f>
        <v>Resolved</v>
      </c>
      <c r="J1008" s="2" t="str">
        <f aca="false">TEXT(B1008,"yyyy-mm")</f>
        <v>2026-05</v>
      </c>
      <c r="K1008" s="8" t="n">
        <f aca="false">IF(C1008="","",ROUND((C1008-B1008)*24,2))</f>
        <v>9.87</v>
      </c>
      <c r="L1008" s="2" t="n">
        <f aca="false">INDEX('SLA Policy'!$B$2:$B$5,MATCH(E1008,'SLA Policy'!$A$2:$A$5,0))</f>
        <v>72</v>
      </c>
      <c r="M1008" s="2" t="str">
        <f aca="false">IF(K1008="","Open",IF(K1008&lt;=L1008,"Yes","No"))</f>
        <v>Yes</v>
      </c>
    </row>
    <row r="1009" customFormat="false" ht="15" hidden="false" customHeight="false" outlineLevel="0" collapsed="false">
      <c r="A1009" s="2" t="s">
        <v>1043</v>
      </c>
      <c r="B1009" s="7" t="n">
        <v>46171.7847222222</v>
      </c>
      <c r="C1009" s="7" t="n">
        <v>46172.8708333333</v>
      </c>
      <c r="D1009" s="2" t="s">
        <v>22</v>
      </c>
      <c r="E1009" s="2" t="s">
        <v>35</v>
      </c>
      <c r="F1009" s="2" t="s">
        <v>27</v>
      </c>
      <c r="G1009" s="2" t="s">
        <v>25</v>
      </c>
      <c r="H1009" s="2" t="n">
        <v>4</v>
      </c>
      <c r="I1009" s="2" t="str">
        <f aca="false">IF(C1009="","Open","Resolved")</f>
        <v>Resolved</v>
      </c>
      <c r="J1009" s="2" t="str">
        <f aca="false">TEXT(B1009,"yyyy-mm")</f>
        <v>2026-05</v>
      </c>
      <c r="K1009" s="8" t="n">
        <f aca="false">IF(C1009="","",ROUND((C1009-B1009)*24,2))</f>
        <v>26.07</v>
      </c>
      <c r="L1009" s="2" t="n">
        <f aca="false">INDEX('SLA Policy'!$B$2:$B$5,MATCH(E1009,'SLA Policy'!$A$2:$A$5,0))</f>
        <v>24</v>
      </c>
      <c r="M1009" s="2" t="str">
        <f aca="false">IF(K1009="","Open",IF(K1009&lt;=L1009,"Yes","No"))</f>
        <v>No</v>
      </c>
    </row>
    <row r="1010" customFormat="false" ht="15" hidden="false" customHeight="false" outlineLevel="0" collapsed="false">
      <c r="A1010" s="2" t="s">
        <v>1044</v>
      </c>
      <c r="B1010" s="7" t="n">
        <v>46172.3020833333</v>
      </c>
      <c r="C1010" s="7" t="n">
        <v>46173.1958333333</v>
      </c>
      <c r="D1010" s="2" t="s">
        <v>42</v>
      </c>
      <c r="E1010" s="2" t="s">
        <v>32</v>
      </c>
      <c r="F1010" s="2" t="s">
        <v>38</v>
      </c>
      <c r="G1010" s="2" t="s">
        <v>29</v>
      </c>
      <c r="H1010" s="2" t="n">
        <v>4</v>
      </c>
      <c r="I1010" s="2" t="str">
        <f aca="false">IF(C1010="","Open","Resolved")</f>
        <v>Resolved</v>
      </c>
      <c r="J1010" s="2" t="str">
        <f aca="false">TEXT(B1010,"yyyy-mm")</f>
        <v>2026-05</v>
      </c>
      <c r="K1010" s="8" t="n">
        <f aca="false">IF(C1010="","",ROUND((C1010-B1010)*24,2))</f>
        <v>21.45</v>
      </c>
      <c r="L1010" s="2" t="n">
        <f aca="false">INDEX('SLA Policy'!$B$2:$B$5,MATCH(E1010,'SLA Policy'!$A$2:$A$5,0))</f>
        <v>72</v>
      </c>
      <c r="M1010" s="2" t="str">
        <f aca="false">IF(K1010="","Open",IF(K1010&lt;=L1010,"Yes","No"))</f>
        <v>Yes</v>
      </c>
    </row>
    <row r="1011" customFormat="false" ht="15" hidden="false" customHeight="false" outlineLevel="0" collapsed="false">
      <c r="A1011" s="2" t="s">
        <v>1045</v>
      </c>
      <c r="B1011" s="7" t="n">
        <v>46172.3777777778</v>
      </c>
      <c r="C1011" s="7" t="n">
        <v>46177.1986111111</v>
      </c>
      <c r="D1011" s="2" t="s">
        <v>48</v>
      </c>
      <c r="E1011" s="2" t="s">
        <v>32</v>
      </c>
      <c r="F1011" s="2" t="s">
        <v>27</v>
      </c>
      <c r="G1011" s="2" t="s">
        <v>25</v>
      </c>
      <c r="H1011" s="2" t="n">
        <v>1</v>
      </c>
      <c r="I1011" s="2" t="str">
        <f aca="false">IF(C1011="","Open","Resolved")</f>
        <v>Resolved</v>
      </c>
      <c r="J1011" s="2" t="str">
        <f aca="false">TEXT(B1011,"yyyy-mm")</f>
        <v>2026-05</v>
      </c>
      <c r="K1011" s="8" t="n">
        <f aca="false">IF(C1011="","",ROUND((C1011-B1011)*24,2))</f>
        <v>115.7</v>
      </c>
      <c r="L1011" s="2" t="n">
        <f aca="false">INDEX('SLA Policy'!$B$2:$B$5,MATCH(E1011,'SLA Policy'!$A$2:$A$5,0))</f>
        <v>72</v>
      </c>
      <c r="M1011" s="2" t="str">
        <f aca="false">IF(K1011="","Open",IF(K1011&lt;=L1011,"Yes","No"))</f>
        <v>No</v>
      </c>
    </row>
    <row r="1012" customFormat="false" ht="15" hidden="false" customHeight="false" outlineLevel="0" collapsed="false">
      <c r="A1012" s="2" t="s">
        <v>1046</v>
      </c>
      <c r="B1012" s="7" t="n">
        <v>46172.7729166667</v>
      </c>
      <c r="C1012" s="7" t="n">
        <v>46173.1638888889</v>
      </c>
      <c r="D1012" s="2" t="s">
        <v>22</v>
      </c>
      <c r="E1012" s="2" t="s">
        <v>23</v>
      </c>
      <c r="F1012" s="2" t="s">
        <v>27</v>
      </c>
      <c r="G1012" s="2" t="s">
        <v>25</v>
      </c>
      <c r="H1012" s="2" t="n">
        <v>4</v>
      </c>
      <c r="I1012" s="2" t="str">
        <f aca="false">IF(C1012="","Open","Resolved")</f>
        <v>Resolved</v>
      </c>
      <c r="J1012" s="2" t="str">
        <f aca="false">TEXT(B1012,"yyyy-mm")</f>
        <v>2026-05</v>
      </c>
      <c r="K1012" s="8" t="n">
        <f aca="false">IF(C1012="","",ROUND((C1012-B1012)*24,2))</f>
        <v>9.38</v>
      </c>
      <c r="L1012" s="2" t="n">
        <f aca="false">INDEX('SLA Policy'!$B$2:$B$5,MATCH(E1012,'SLA Policy'!$A$2:$A$5,0))</f>
        <v>8</v>
      </c>
      <c r="M1012" s="2" t="str">
        <f aca="false">IF(K1012="","Open",IF(K1012&lt;=L1012,"Yes","No"))</f>
        <v>No</v>
      </c>
    </row>
    <row r="1013" customFormat="false" ht="15" hidden="false" customHeight="false" outlineLevel="0" collapsed="false">
      <c r="A1013" s="2" t="s">
        <v>1047</v>
      </c>
      <c r="B1013" s="7" t="n">
        <v>46172.775</v>
      </c>
      <c r="C1013" s="7" t="n">
        <v>46173.6097222222</v>
      </c>
      <c r="D1013" s="2" t="s">
        <v>42</v>
      </c>
      <c r="E1013" s="2" t="s">
        <v>32</v>
      </c>
      <c r="F1013" s="2" t="s">
        <v>27</v>
      </c>
      <c r="G1013" s="2" t="s">
        <v>29</v>
      </c>
      <c r="H1013" s="2" t="n">
        <v>4</v>
      </c>
      <c r="I1013" s="2" t="str">
        <f aca="false">IF(C1013="","Open","Resolved")</f>
        <v>Resolved</v>
      </c>
      <c r="J1013" s="2" t="str">
        <f aca="false">TEXT(B1013,"yyyy-mm")</f>
        <v>2026-05</v>
      </c>
      <c r="K1013" s="8" t="n">
        <f aca="false">IF(C1013="","",ROUND((C1013-B1013)*24,2))</f>
        <v>20.03</v>
      </c>
      <c r="L1013" s="2" t="n">
        <f aca="false">INDEX('SLA Policy'!$B$2:$B$5,MATCH(E1013,'SLA Policy'!$A$2:$A$5,0))</f>
        <v>72</v>
      </c>
      <c r="M1013" s="2" t="str">
        <f aca="false">IF(K1013="","Open",IF(K1013&lt;=L1013,"Yes","No"))</f>
        <v>Yes</v>
      </c>
    </row>
    <row r="1014" customFormat="false" ht="15" hidden="false" customHeight="false" outlineLevel="0" collapsed="false">
      <c r="A1014" s="2" t="s">
        <v>1048</v>
      </c>
      <c r="B1014" s="7" t="n">
        <v>46173.3618055556</v>
      </c>
      <c r="C1014" s="7" t="n">
        <v>46173.6583333333</v>
      </c>
      <c r="D1014" s="2" t="s">
        <v>31</v>
      </c>
      <c r="E1014" s="2" t="s">
        <v>23</v>
      </c>
      <c r="F1014" s="2" t="s">
        <v>24</v>
      </c>
      <c r="G1014" s="2" t="s">
        <v>33</v>
      </c>
      <c r="H1014" s="2" t="n">
        <v>4</v>
      </c>
      <c r="I1014" s="2" t="str">
        <f aca="false">IF(C1014="","Open","Resolved")</f>
        <v>Resolved</v>
      </c>
      <c r="J1014" s="2" t="str">
        <f aca="false">TEXT(B1014,"yyyy-mm")</f>
        <v>2026-05</v>
      </c>
      <c r="K1014" s="8" t="n">
        <f aca="false">IF(C1014="","",ROUND((C1014-B1014)*24,2))</f>
        <v>7.12</v>
      </c>
      <c r="L1014" s="2" t="n">
        <f aca="false">INDEX('SLA Policy'!$B$2:$B$5,MATCH(E1014,'SLA Policy'!$A$2:$A$5,0))</f>
        <v>8</v>
      </c>
      <c r="M1014" s="2" t="str">
        <f aca="false">IF(K1014="","Open",IF(K1014&lt;=L1014,"Yes","No"))</f>
        <v>Yes</v>
      </c>
    </row>
    <row r="1015" customFormat="false" ht="15" hidden="false" customHeight="false" outlineLevel="0" collapsed="false">
      <c r="A1015" s="2" t="s">
        <v>1049</v>
      </c>
      <c r="B1015" s="7" t="n">
        <v>46173.4423611111</v>
      </c>
      <c r="C1015" s="7" t="n">
        <v>46174.3465277778</v>
      </c>
      <c r="D1015" s="2" t="s">
        <v>42</v>
      </c>
      <c r="E1015" s="2" t="s">
        <v>35</v>
      </c>
      <c r="F1015" s="2" t="s">
        <v>38</v>
      </c>
      <c r="G1015" s="2" t="s">
        <v>29</v>
      </c>
      <c r="H1015" s="2" t="n">
        <v>4</v>
      </c>
      <c r="I1015" s="2" t="str">
        <f aca="false">IF(C1015="","Open","Resolved")</f>
        <v>Resolved</v>
      </c>
      <c r="J1015" s="2" t="str">
        <f aca="false">TEXT(B1015,"yyyy-mm")</f>
        <v>2026-05</v>
      </c>
      <c r="K1015" s="8" t="n">
        <f aca="false">IF(C1015="","",ROUND((C1015-B1015)*24,2))</f>
        <v>21.7</v>
      </c>
      <c r="L1015" s="2" t="n">
        <f aca="false">INDEX('SLA Policy'!$B$2:$B$5,MATCH(E1015,'SLA Policy'!$A$2:$A$5,0))</f>
        <v>24</v>
      </c>
      <c r="M1015" s="2" t="str">
        <f aca="false">IF(K1015="","Open",IF(K1015&lt;=L1015,"Yes","No"))</f>
        <v>Yes</v>
      </c>
    </row>
    <row r="1016" customFormat="false" ht="15" hidden="false" customHeight="false" outlineLevel="0" collapsed="false">
      <c r="A1016" s="2" t="s">
        <v>1050</v>
      </c>
      <c r="B1016" s="7" t="n">
        <v>46173.7326388889</v>
      </c>
      <c r="C1016" s="7" t="n">
        <v>46173.85625</v>
      </c>
      <c r="D1016" s="2" t="s">
        <v>42</v>
      </c>
      <c r="E1016" s="2" t="s">
        <v>23</v>
      </c>
      <c r="F1016" s="2" t="s">
        <v>27</v>
      </c>
      <c r="G1016" s="2" t="s">
        <v>29</v>
      </c>
      <c r="H1016" s="2" t="n">
        <v>5</v>
      </c>
      <c r="I1016" s="2" t="str">
        <f aca="false">IF(C1016="","Open","Resolved")</f>
        <v>Resolved</v>
      </c>
      <c r="J1016" s="2" t="str">
        <f aca="false">TEXT(B1016,"yyyy-mm")</f>
        <v>2026-05</v>
      </c>
      <c r="K1016" s="8" t="n">
        <f aca="false">IF(C1016="","",ROUND((C1016-B1016)*24,2))</f>
        <v>2.97</v>
      </c>
      <c r="L1016" s="2" t="n">
        <f aca="false">INDEX('SLA Policy'!$B$2:$B$5,MATCH(E1016,'SLA Policy'!$A$2:$A$5,0))</f>
        <v>8</v>
      </c>
      <c r="M1016" s="2" t="str">
        <f aca="false">IF(K1016="","Open",IF(K1016&lt;=L1016,"Yes","No"))</f>
        <v>Yes</v>
      </c>
    </row>
    <row r="1017" customFormat="false" ht="15" hidden="false" customHeight="false" outlineLevel="0" collapsed="false">
      <c r="A1017" s="2" t="s">
        <v>1051</v>
      </c>
      <c r="B1017" s="7" t="n">
        <v>46174.3083333333</v>
      </c>
      <c r="C1017" s="7" t="n">
        <v>46175.1166666667</v>
      </c>
      <c r="D1017" s="2" t="s">
        <v>48</v>
      </c>
      <c r="E1017" s="2" t="s">
        <v>35</v>
      </c>
      <c r="F1017" s="2" t="s">
        <v>38</v>
      </c>
      <c r="G1017" s="2" t="s">
        <v>25</v>
      </c>
      <c r="H1017" s="2" t="n">
        <v>3</v>
      </c>
      <c r="I1017" s="2" t="str">
        <f aca="false">IF(C1017="","Open","Resolved")</f>
        <v>Resolved</v>
      </c>
      <c r="J1017" s="2" t="str">
        <f aca="false">TEXT(B1017,"yyyy-mm")</f>
        <v>2026-06</v>
      </c>
      <c r="K1017" s="8" t="n">
        <f aca="false">IF(C1017="","",ROUND((C1017-B1017)*24,2))</f>
        <v>19.4</v>
      </c>
      <c r="L1017" s="2" t="n">
        <f aca="false">INDEX('SLA Policy'!$B$2:$B$5,MATCH(E1017,'SLA Policy'!$A$2:$A$5,0))</f>
        <v>24</v>
      </c>
      <c r="M1017" s="2" t="str">
        <f aca="false">IF(K1017="","Open",IF(K1017&lt;=L1017,"Yes","No"))</f>
        <v>Yes</v>
      </c>
    </row>
    <row r="1018" customFormat="false" ht="15" hidden="false" customHeight="false" outlineLevel="0" collapsed="false">
      <c r="A1018" s="2" t="s">
        <v>1052</v>
      </c>
      <c r="B1018" s="7" t="n">
        <v>46174.3680555556</v>
      </c>
      <c r="C1018" s="7" t="n">
        <v>46177.7645833333</v>
      </c>
      <c r="D1018" s="2" t="s">
        <v>48</v>
      </c>
      <c r="E1018" s="2" t="s">
        <v>32</v>
      </c>
      <c r="F1018" s="2" t="s">
        <v>24</v>
      </c>
      <c r="G1018" s="2" t="s">
        <v>25</v>
      </c>
      <c r="H1018" s="2" t="n">
        <v>1</v>
      </c>
      <c r="I1018" s="2" t="str">
        <f aca="false">IF(C1018="","Open","Resolved")</f>
        <v>Resolved</v>
      </c>
      <c r="J1018" s="2" t="str">
        <f aca="false">TEXT(B1018,"yyyy-mm")</f>
        <v>2026-06</v>
      </c>
      <c r="K1018" s="8" t="n">
        <f aca="false">IF(C1018="","",ROUND((C1018-B1018)*24,2))</f>
        <v>81.52</v>
      </c>
      <c r="L1018" s="2" t="n">
        <f aca="false">INDEX('SLA Policy'!$B$2:$B$5,MATCH(E1018,'SLA Policy'!$A$2:$A$5,0))</f>
        <v>72</v>
      </c>
      <c r="M1018" s="2" t="str">
        <f aca="false">IF(K1018="","Open",IF(K1018&lt;=L1018,"Yes","No"))</f>
        <v>No</v>
      </c>
    </row>
    <row r="1019" customFormat="false" ht="15" hidden="false" customHeight="false" outlineLevel="0" collapsed="false">
      <c r="A1019" s="2" t="s">
        <v>1053</v>
      </c>
      <c r="B1019" s="7" t="n">
        <v>46174.3784722222</v>
      </c>
      <c r="C1019" s="7" t="n">
        <v>46174.5659722222</v>
      </c>
      <c r="D1019" s="2" t="s">
        <v>42</v>
      </c>
      <c r="E1019" s="2" t="s">
        <v>35</v>
      </c>
      <c r="F1019" s="2" t="s">
        <v>28</v>
      </c>
      <c r="G1019" s="2" t="s">
        <v>29</v>
      </c>
      <c r="H1019" s="2" t="n">
        <v>5</v>
      </c>
      <c r="I1019" s="2" t="str">
        <f aca="false">IF(C1019="","Open","Resolved")</f>
        <v>Resolved</v>
      </c>
      <c r="J1019" s="2" t="str">
        <f aca="false">TEXT(B1019,"yyyy-mm")</f>
        <v>2026-06</v>
      </c>
      <c r="K1019" s="8" t="n">
        <f aca="false">IF(C1019="","",ROUND((C1019-B1019)*24,2))</f>
        <v>4.5</v>
      </c>
      <c r="L1019" s="2" t="n">
        <f aca="false">INDEX('SLA Policy'!$B$2:$B$5,MATCH(E1019,'SLA Policy'!$A$2:$A$5,0))</f>
        <v>24</v>
      </c>
      <c r="M1019" s="2" t="str">
        <f aca="false">IF(K1019="","Open",IF(K1019&lt;=L1019,"Yes","No"))</f>
        <v>Yes</v>
      </c>
    </row>
    <row r="1020" customFormat="false" ht="15" hidden="false" customHeight="false" outlineLevel="0" collapsed="false">
      <c r="A1020" s="2" t="s">
        <v>1054</v>
      </c>
      <c r="B1020" s="7" t="n">
        <v>46174.4354166667</v>
      </c>
      <c r="C1020" s="7" t="n">
        <v>46174.50625</v>
      </c>
      <c r="D1020" s="2" t="s">
        <v>42</v>
      </c>
      <c r="E1020" s="2" t="s">
        <v>23</v>
      </c>
      <c r="F1020" s="2" t="s">
        <v>28</v>
      </c>
      <c r="G1020" s="2" t="s">
        <v>29</v>
      </c>
      <c r="H1020" s="2" t="n">
        <v>5</v>
      </c>
      <c r="I1020" s="2" t="str">
        <f aca="false">IF(C1020="","Open","Resolved")</f>
        <v>Resolved</v>
      </c>
      <c r="J1020" s="2" t="str">
        <f aca="false">TEXT(B1020,"yyyy-mm")</f>
        <v>2026-06</v>
      </c>
      <c r="K1020" s="8" t="n">
        <f aca="false">IF(C1020="","",ROUND((C1020-B1020)*24,2))</f>
        <v>1.7</v>
      </c>
      <c r="L1020" s="2" t="n">
        <f aca="false">INDEX('SLA Policy'!$B$2:$B$5,MATCH(E1020,'SLA Policy'!$A$2:$A$5,0))</f>
        <v>8</v>
      </c>
      <c r="M1020" s="2" t="str">
        <f aca="false">IF(K1020="","Open",IF(K1020&lt;=L1020,"Yes","No"))</f>
        <v>Yes</v>
      </c>
    </row>
    <row r="1021" customFormat="false" ht="15" hidden="false" customHeight="false" outlineLevel="0" collapsed="false">
      <c r="A1021" s="2" t="s">
        <v>1055</v>
      </c>
      <c r="B1021" s="7" t="n">
        <v>46174.4597222222</v>
      </c>
      <c r="C1021" s="7" t="n">
        <v>46175.8104166667</v>
      </c>
      <c r="D1021" s="2" t="s">
        <v>31</v>
      </c>
      <c r="E1021" s="2" t="s">
        <v>32</v>
      </c>
      <c r="F1021" s="2" t="s">
        <v>27</v>
      </c>
      <c r="G1021" s="2" t="s">
        <v>33</v>
      </c>
      <c r="H1021" s="2" t="n">
        <v>3</v>
      </c>
      <c r="I1021" s="2" t="str">
        <f aca="false">IF(C1021="","Open","Resolved")</f>
        <v>Resolved</v>
      </c>
      <c r="J1021" s="2" t="str">
        <f aca="false">TEXT(B1021,"yyyy-mm")</f>
        <v>2026-06</v>
      </c>
      <c r="K1021" s="8" t="n">
        <f aca="false">IF(C1021="","",ROUND((C1021-B1021)*24,2))</f>
        <v>32.42</v>
      </c>
      <c r="L1021" s="2" t="n">
        <f aca="false">INDEX('SLA Policy'!$B$2:$B$5,MATCH(E1021,'SLA Policy'!$A$2:$A$5,0))</f>
        <v>72</v>
      </c>
      <c r="M1021" s="2" t="str">
        <f aca="false">IF(K1021="","Open",IF(K1021&lt;=L1021,"Yes","No"))</f>
        <v>Yes</v>
      </c>
    </row>
    <row r="1022" customFormat="false" ht="15" hidden="false" customHeight="false" outlineLevel="0" collapsed="false">
      <c r="A1022" s="2" t="s">
        <v>1056</v>
      </c>
      <c r="B1022" s="7" t="n">
        <v>46174.4923611111</v>
      </c>
      <c r="C1022" s="7" t="n">
        <v>46175.4631944444</v>
      </c>
      <c r="D1022" s="2" t="s">
        <v>27</v>
      </c>
      <c r="E1022" s="2" t="s">
        <v>32</v>
      </c>
      <c r="F1022" s="2" t="s">
        <v>28</v>
      </c>
      <c r="G1022" s="2" t="s">
        <v>29</v>
      </c>
      <c r="H1022" s="2" t="n">
        <v>3</v>
      </c>
      <c r="I1022" s="2" t="str">
        <f aca="false">IF(C1022="","Open","Resolved")</f>
        <v>Resolved</v>
      </c>
      <c r="J1022" s="2" t="str">
        <f aca="false">TEXT(B1022,"yyyy-mm")</f>
        <v>2026-06</v>
      </c>
      <c r="K1022" s="8" t="n">
        <f aca="false">IF(C1022="","",ROUND((C1022-B1022)*24,2))</f>
        <v>23.3</v>
      </c>
      <c r="L1022" s="2" t="n">
        <f aca="false">INDEX('SLA Policy'!$B$2:$B$5,MATCH(E1022,'SLA Policy'!$A$2:$A$5,0))</f>
        <v>72</v>
      </c>
      <c r="M1022" s="2" t="str">
        <f aca="false">IF(K1022="","Open",IF(K1022&lt;=L1022,"Yes","No"))</f>
        <v>Yes</v>
      </c>
    </row>
    <row r="1023" customFormat="false" ht="15" hidden="false" customHeight="false" outlineLevel="0" collapsed="false">
      <c r="A1023" s="2" t="s">
        <v>1057</v>
      </c>
      <c r="B1023" s="7" t="n">
        <v>46174.5131944444</v>
      </c>
      <c r="C1023" s="7" t="n">
        <v>46174.6159722222</v>
      </c>
      <c r="D1023" s="2" t="s">
        <v>42</v>
      </c>
      <c r="E1023" s="2" t="s">
        <v>23</v>
      </c>
      <c r="F1023" s="2" t="s">
        <v>38</v>
      </c>
      <c r="G1023" s="2" t="s">
        <v>29</v>
      </c>
      <c r="H1023" s="2" t="n">
        <v>5</v>
      </c>
      <c r="I1023" s="2" t="str">
        <f aca="false">IF(C1023="","Open","Resolved")</f>
        <v>Resolved</v>
      </c>
      <c r="J1023" s="2" t="str">
        <f aca="false">TEXT(B1023,"yyyy-mm")</f>
        <v>2026-06</v>
      </c>
      <c r="K1023" s="8" t="n">
        <f aca="false">IF(C1023="","",ROUND((C1023-B1023)*24,2))</f>
        <v>2.47</v>
      </c>
      <c r="L1023" s="2" t="n">
        <f aca="false">INDEX('SLA Policy'!$B$2:$B$5,MATCH(E1023,'SLA Policy'!$A$2:$A$5,0))</f>
        <v>8</v>
      </c>
      <c r="M1023" s="2" t="str">
        <f aca="false">IF(K1023="","Open",IF(K1023&lt;=L1023,"Yes","No"))</f>
        <v>Yes</v>
      </c>
    </row>
    <row r="1024" customFormat="false" ht="15" hidden="false" customHeight="false" outlineLevel="0" collapsed="false">
      <c r="A1024" s="2" t="s">
        <v>1058</v>
      </c>
      <c r="B1024" s="7" t="n">
        <v>46174.6805555556</v>
      </c>
      <c r="C1024" s="7" t="n">
        <v>46176.9895833333</v>
      </c>
      <c r="D1024" s="2" t="s">
        <v>48</v>
      </c>
      <c r="E1024" s="2" t="s">
        <v>32</v>
      </c>
      <c r="F1024" s="2" t="s">
        <v>38</v>
      </c>
      <c r="G1024" s="2" t="s">
        <v>25</v>
      </c>
      <c r="H1024" s="2" t="n">
        <v>3</v>
      </c>
      <c r="I1024" s="2" t="str">
        <f aca="false">IF(C1024="","Open","Resolved")</f>
        <v>Resolved</v>
      </c>
      <c r="J1024" s="2" t="str">
        <f aca="false">TEXT(B1024,"yyyy-mm")</f>
        <v>2026-06</v>
      </c>
      <c r="K1024" s="8" t="n">
        <f aca="false">IF(C1024="","",ROUND((C1024-B1024)*24,2))</f>
        <v>55.42</v>
      </c>
      <c r="L1024" s="2" t="n">
        <f aca="false">INDEX('SLA Policy'!$B$2:$B$5,MATCH(E1024,'SLA Policy'!$A$2:$A$5,0))</f>
        <v>72</v>
      </c>
      <c r="M1024" s="2" t="str">
        <f aca="false">IF(K1024="","Open",IF(K1024&lt;=L1024,"Yes","No"))</f>
        <v>Yes</v>
      </c>
    </row>
    <row r="1025" customFormat="false" ht="15" hidden="false" customHeight="false" outlineLevel="0" collapsed="false">
      <c r="A1025" s="2" t="s">
        <v>1059</v>
      </c>
      <c r="B1025" s="7" t="n">
        <v>46174.6930555556</v>
      </c>
      <c r="C1025" s="7" t="n">
        <v>46175.7604166667</v>
      </c>
      <c r="D1025" s="2" t="s">
        <v>22</v>
      </c>
      <c r="E1025" s="2" t="s">
        <v>35</v>
      </c>
      <c r="F1025" s="2" t="s">
        <v>24</v>
      </c>
      <c r="G1025" s="2" t="s">
        <v>25</v>
      </c>
      <c r="H1025" s="2" t="n">
        <v>3</v>
      </c>
      <c r="I1025" s="2" t="str">
        <f aca="false">IF(C1025="","Open","Resolved")</f>
        <v>Resolved</v>
      </c>
      <c r="J1025" s="2" t="str">
        <f aca="false">TEXT(B1025,"yyyy-mm")</f>
        <v>2026-06</v>
      </c>
      <c r="K1025" s="8" t="n">
        <f aca="false">IF(C1025="","",ROUND((C1025-B1025)*24,2))</f>
        <v>25.62</v>
      </c>
      <c r="L1025" s="2" t="n">
        <f aca="false">INDEX('SLA Policy'!$B$2:$B$5,MATCH(E1025,'SLA Policy'!$A$2:$A$5,0))</f>
        <v>24</v>
      </c>
      <c r="M1025" s="2" t="str">
        <f aca="false">IF(K1025="","Open",IF(K1025&lt;=L1025,"Yes","No"))</f>
        <v>No</v>
      </c>
    </row>
    <row r="1026" customFormat="false" ht="15" hidden="false" customHeight="false" outlineLevel="0" collapsed="false">
      <c r="A1026" s="2" t="s">
        <v>1060</v>
      </c>
      <c r="B1026" s="7" t="n">
        <v>46174.7277777778</v>
      </c>
      <c r="C1026" s="7" t="n">
        <v>46175.3638888889</v>
      </c>
      <c r="D1026" s="2" t="s">
        <v>31</v>
      </c>
      <c r="E1026" s="2" t="s">
        <v>35</v>
      </c>
      <c r="F1026" s="2" t="s">
        <v>27</v>
      </c>
      <c r="G1026" s="2" t="s">
        <v>33</v>
      </c>
      <c r="H1026" s="2" t="n">
        <v>4</v>
      </c>
      <c r="I1026" s="2" t="str">
        <f aca="false">IF(C1026="","Open","Resolved")</f>
        <v>Resolved</v>
      </c>
      <c r="J1026" s="2" t="str">
        <f aca="false">TEXT(B1026,"yyyy-mm")</f>
        <v>2026-06</v>
      </c>
      <c r="K1026" s="8" t="n">
        <f aca="false">IF(C1026="","",ROUND((C1026-B1026)*24,2))</f>
        <v>15.27</v>
      </c>
      <c r="L1026" s="2" t="n">
        <f aca="false">INDEX('SLA Policy'!$B$2:$B$5,MATCH(E1026,'SLA Policy'!$A$2:$A$5,0))</f>
        <v>24</v>
      </c>
      <c r="M1026" s="2" t="str">
        <f aca="false">IF(K1026="","Open",IF(K1026&lt;=L1026,"Yes","No"))</f>
        <v>Yes</v>
      </c>
    </row>
    <row r="1027" customFormat="false" ht="15" hidden="false" customHeight="false" outlineLevel="0" collapsed="false">
      <c r="A1027" s="2" t="s">
        <v>1061</v>
      </c>
      <c r="B1027" s="7" t="n">
        <v>46174.7680555556</v>
      </c>
      <c r="C1027" s="7" t="n">
        <v>46174.8055555556</v>
      </c>
      <c r="D1027" s="2" t="s">
        <v>31</v>
      </c>
      <c r="E1027" s="2" t="s">
        <v>40</v>
      </c>
      <c r="F1027" s="2" t="s">
        <v>38</v>
      </c>
      <c r="G1027" s="2" t="s">
        <v>33</v>
      </c>
      <c r="H1027" s="2" t="n">
        <v>5</v>
      </c>
      <c r="I1027" s="2" t="str">
        <f aca="false">IF(C1027="","Open","Resolved")</f>
        <v>Resolved</v>
      </c>
      <c r="J1027" s="2" t="str">
        <f aca="false">TEXT(B1027,"yyyy-mm")</f>
        <v>2026-06</v>
      </c>
      <c r="K1027" s="8" t="n">
        <f aca="false">IF(C1027="","",ROUND((C1027-B1027)*24,2))</f>
        <v>0.9</v>
      </c>
      <c r="L1027" s="2" t="n">
        <f aca="false">INDEX('SLA Policy'!$B$2:$B$5,MATCH(E1027,'SLA Policy'!$A$2:$A$5,0))</f>
        <v>4</v>
      </c>
      <c r="M1027" s="2" t="str">
        <f aca="false">IF(K1027="","Open",IF(K1027&lt;=L1027,"Yes","No"))</f>
        <v>Yes</v>
      </c>
    </row>
    <row r="1028" customFormat="false" ht="15" hidden="false" customHeight="false" outlineLevel="0" collapsed="false">
      <c r="A1028" s="2" t="s">
        <v>1062</v>
      </c>
      <c r="B1028" s="7" t="n">
        <v>46175.3277777778</v>
      </c>
      <c r="C1028" s="7" t="n">
        <v>46176.0423611111</v>
      </c>
      <c r="D1028" s="2" t="s">
        <v>42</v>
      </c>
      <c r="E1028" s="2" t="s">
        <v>32</v>
      </c>
      <c r="F1028" s="2" t="s">
        <v>24</v>
      </c>
      <c r="G1028" s="2" t="s">
        <v>29</v>
      </c>
      <c r="H1028" s="2" t="n">
        <v>3</v>
      </c>
      <c r="I1028" s="2" t="str">
        <f aca="false">IF(C1028="","Open","Resolved")</f>
        <v>Resolved</v>
      </c>
      <c r="J1028" s="2" t="str">
        <f aca="false">TEXT(B1028,"yyyy-mm")</f>
        <v>2026-06</v>
      </c>
      <c r="K1028" s="8" t="n">
        <f aca="false">IF(C1028="","",ROUND((C1028-B1028)*24,2))</f>
        <v>17.15</v>
      </c>
      <c r="L1028" s="2" t="n">
        <f aca="false">INDEX('SLA Policy'!$B$2:$B$5,MATCH(E1028,'SLA Policy'!$A$2:$A$5,0))</f>
        <v>72</v>
      </c>
      <c r="M1028" s="2" t="str">
        <f aca="false">IF(K1028="","Open",IF(K1028&lt;=L1028,"Yes","No"))</f>
        <v>Yes</v>
      </c>
    </row>
    <row r="1029" customFormat="false" ht="15" hidden="false" customHeight="false" outlineLevel="0" collapsed="false">
      <c r="A1029" s="2" t="s">
        <v>1063</v>
      </c>
      <c r="B1029" s="7" t="n">
        <v>46175.3527777778</v>
      </c>
      <c r="C1029" s="7" t="n">
        <v>46176.5729166667</v>
      </c>
      <c r="D1029" s="2" t="s">
        <v>31</v>
      </c>
      <c r="E1029" s="2" t="s">
        <v>35</v>
      </c>
      <c r="F1029" s="2" t="s">
        <v>24</v>
      </c>
      <c r="G1029" s="2" t="s">
        <v>33</v>
      </c>
      <c r="H1029" s="2" t="n">
        <v>4</v>
      </c>
      <c r="I1029" s="2" t="str">
        <f aca="false">IF(C1029="","Open","Resolved")</f>
        <v>Resolved</v>
      </c>
      <c r="J1029" s="2" t="str">
        <f aca="false">TEXT(B1029,"yyyy-mm")</f>
        <v>2026-06</v>
      </c>
      <c r="K1029" s="8" t="n">
        <f aca="false">IF(C1029="","",ROUND((C1029-B1029)*24,2))</f>
        <v>29.28</v>
      </c>
      <c r="L1029" s="2" t="n">
        <f aca="false">INDEX('SLA Policy'!$B$2:$B$5,MATCH(E1029,'SLA Policy'!$A$2:$A$5,0))</f>
        <v>24</v>
      </c>
      <c r="M1029" s="2" t="str">
        <f aca="false">IF(K1029="","Open",IF(K1029&lt;=L1029,"Yes","No"))</f>
        <v>No</v>
      </c>
    </row>
    <row r="1030" customFormat="false" ht="15" hidden="false" customHeight="false" outlineLevel="0" collapsed="false">
      <c r="A1030" s="2" t="s">
        <v>1064</v>
      </c>
      <c r="B1030" s="7" t="n">
        <v>46175.4131944445</v>
      </c>
      <c r="C1030" s="7" t="n">
        <v>46178.4194444444</v>
      </c>
      <c r="D1030" s="2" t="s">
        <v>48</v>
      </c>
      <c r="E1030" s="2" t="s">
        <v>32</v>
      </c>
      <c r="F1030" s="2" t="s">
        <v>24</v>
      </c>
      <c r="G1030" s="2" t="s">
        <v>25</v>
      </c>
      <c r="H1030" s="2" t="n">
        <v>2</v>
      </c>
      <c r="I1030" s="2" t="str">
        <f aca="false">IF(C1030="","Open","Resolved")</f>
        <v>Resolved</v>
      </c>
      <c r="J1030" s="2" t="str">
        <f aca="false">TEXT(B1030,"yyyy-mm")</f>
        <v>2026-06</v>
      </c>
      <c r="K1030" s="8" t="n">
        <f aca="false">IF(C1030="","",ROUND((C1030-B1030)*24,2))</f>
        <v>72.15</v>
      </c>
      <c r="L1030" s="2" t="n">
        <f aca="false">INDEX('SLA Policy'!$B$2:$B$5,MATCH(E1030,'SLA Policy'!$A$2:$A$5,0))</f>
        <v>72</v>
      </c>
      <c r="M1030" s="2" t="str">
        <f aca="false">IF(K1030="","Open",IF(K1030&lt;=L1030,"Yes","No"))</f>
        <v>No</v>
      </c>
    </row>
    <row r="1031" customFormat="false" ht="15" hidden="false" customHeight="false" outlineLevel="0" collapsed="false">
      <c r="A1031" s="2" t="s">
        <v>1065</v>
      </c>
      <c r="B1031" s="7" t="n">
        <v>46175.4465277778</v>
      </c>
      <c r="C1031" s="7" t="n">
        <v>46175.6152777778</v>
      </c>
      <c r="D1031" s="2" t="s">
        <v>27</v>
      </c>
      <c r="E1031" s="2" t="s">
        <v>23</v>
      </c>
      <c r="F1031" s="2" t="s">
        <v>28</v>
      </c>
      <c r="G1031" s="2" t="s">
        <v>29</v>
      </c>
      <c r="H1031" s="2" t="n">
        <v>5</v>
      </c>
      <c r="I1031" s="2" t="str">
        <f aca="false">IF(C1031="","Open","Resolved")</f>
        <v>Resolved</v>
      </c>
      <c r="J1031" s="2" t="str">
        <f aca="false">TEXT(B1031,"yyyy-mm")</f>
        <v>2026-06</v>
      </c>
      <c r="K1031" s="8" t="n">
        <f aca="false">IF(C1031="","",ROUND((C1031-B1031)*24,2))</f>
        <v>4.05</v>
      </c>
      <c r="L1031" s="2" t="n">
        <f aca="false">INDEX('SLA Policy'!$B$2:$B$5,MATCH(E1031,'SLA Policy'!$A$2:$A$5,0))</f>
        <v>8</v>
      </c>
      <c r="M1031" s="2" t="str">
        <f aca="false">IF(K1031="","Open",IF(K1031&lt;=L1031,"Yes","No"))</f>
        <v>Yes</v>
      </c>
    </row>
    <row r="1032" customFormat="false" ht="15" hidden="false" customHeight="false" outlineLevel="0" collapsed="false">
      <c r="A1032" s="2" t="s">
        <v>1066</v>
      </c>
      <c r="B1032" s="7" t="n">
        <v>46175.4506944444</v>
      </c>
      <c r="C1032" s="7" t="n">
        <v>46175.8756944445</v>
      </c>
      <c r="D1032" s="2" t="s">
        <v>48</v>
      </c>
      <c r="E1032" s="2" t="s">
        <v>23</v>
      </c>
      <c r="F1032" s="2" t="s">
        <v>24</v>
      </c>
      <c r="G1032" s="2" t="s">
        <v>25</v>
      </c>
      <c r="H1032" s="2" t="n">
        <v>5</v>
      </c>
      <c r="I1032" s="2" t="str">
        <f aca="false">IF(C1032="","Open","Resolved")</f>
        <v>Resolved</v>
      </c>
      <c r="J1032" s="2" t="str">
        <f aca="false">TEXT(B1032,"yyyy-mm")</f>
        <v>2026-06</v>
      </c>
      <c r="K1032" s="8" t="n">
        <f aca="false">IF(C1032="","",ROUND((C1032-B1032)*24,2))</f>
        <v>10.2</v>
      </c>
      <c r="L1032" s="2" t="n">
        <f aca="false">INDEX('SLA Policy'!$B$2:$B$5,MATCH(E1032,'SLA Policy'!$A$2:$A$5,0))</f>
        <v>8</v>
      </c>
      <c r="M1032" s="2" t="str">
        <f aca="false">IF(K1032="","Open",IF(K1032&lt;=L1032,"Yes","No"))</f>
        <v>No</v>
      </c>
    </row>
    <row r="1033" customFormat="false" ht="15" hidden="false" customHeight="false" outlineLevel="0" collapsed="false">
      <c r="A1033" s="2" t="s">
        <v>1067</v>
      </c>
      <c r="B1033" s="7" t="n">
        <v>46175.4826388889</v>
      </c>
      <c r="C1033" s="7" t="n">
        <v>46176.2979166667</v>
      </c>
      <c r="D1033" s="2" t="s">
        <v>42</v>
      </c>
      <c r="E1033" s="2" t="s">
        <v>35</v>
      </c>
      <c r="F1033" s="2" t="s">
        <v>27</v>
      </c>
      <c r="G1033" s="2" t="s">
        <v>29</v>
      </c>
      <c r="H1033" s="2" t="n">
        <v>5</v>
      </c>
      <c r="I1033" s="2" t="str">
        <f aca="false">IF(C1033="","Open","Resolved")</f>
        <v>Resolved</v>
      </c>
      <c r="J1033" s="2" t="str">
        <f aca="false">TEXT(B1033,"yyyy-mm")</f>
        <v>2026-06</v>
      </c>
      <c r="K1033" s="8" t="n">
        <f aca="false">IF(C1033="","",ROUND((C1033-B1033)*24,2))</f>
        <v>19.57</v>
      </c>
      <c r="L1033" s="2" t="n">
        <f aca="false">INDEX('SLA Policy'!$B$2:$B$5,MATCH(E1033,'SLA Policy'!$A$2:$A$5,0))</f>
        <v>24</v>
      </c>
      <c r="M1033" s="2" t="str">
        <f aca="false">IF(K1033="","Open",IF(K1033&lt;=L1033,"Yes","No"))</f>
        <v>Yes</v>
      </c>
    </row>
    <row r="1034" customFormat="false" ht="15" hidden="false" customHeight="false" outlineLevel="0" collapsed="false">
      <c r="A1034" s="2" t="s">
        <v>1068</v>
      </c>
      <c r="B1034" s="7" t="n">
        <v>46175.5659722222</v>
      </c>
      <c r="C1034" s="7" t="n">
        <v>46176.6784722222</v>
      </c>
      <c r="D1034" s="2" t="s">
        <v>22</v>
      </c>
      <c r="E1034" s="2" t="s">
        <v>23</v>
      </c>
      <c r="F1034" s="2" t="s">
        <v>38</v>
      </c>
      <c r="G1034" s="2" t="s">
        <v>25</v>
      </c>
      <c r="H1034" s="2" t="n">
        <v>4</v>
      </c>
      <c r="I1034" s="2" t="str">
        <f aca="false">IF(C1034="","Open","Resolved")</f>
        <v>Resolved</v>
      </c>
      <c r="J1034" s="2" t="str">
        <f aca="false">TEXT(B1034,"yyyy-mm")</f>
        <v>2026-06</v>
      </c>
      <c r="K1034" s="8" t="n">
        <f aca="false">IF(C1034="","",ROUND((C1034-B1034)*24,2))</f>
        <v>26.7</v>
      </c>
      <c r="L1034" s="2" t="n">
        <f aca="false">INDEX('SLA Policy'!$B$2:$B$5,MATCH(E1034,'SLA Policy'!$A$2:$A$5,0))</f>
        <v>8</v>
      </c>
      <c r="M1034" s="2" t="str">
        <f aca="false">IF(K1034="","Open",IF(K1034&lt;=L1034,"Yes","No"))</f>
        <v>No</v>
      </c>
    </row>
    <row r="1035" customFormat="false" ht="15" hidden="false" customHeight="false" outlineLevel="0" collapsed="false">
      <c r="A1035" s="2" t="s">
        <v>1069</v>
      </c>
      <c r="B1035" s="7" t="n">
        <v>46175.63125</v>
      </c>
      <c r="C1035" s="7" t="n">
        <v>46175.7875</v>
      </c>
      <c r="D1035" s="2" t="s">
        <v>42</v>
      </c>
      <c r="E1035" s="2" t="s">
        <v>40</v>
      </c>
      <c r="F1035" s="2" t="s">
        <v>24</v>
      </c>
      <c r="G1035" s="2" t="s">
        <v>29</v>
      </c>
      <c r="H1035" s="2" t="n">
        <v>5</v>
      </c>
      <c r="I1035" s="2" t="str">
        <f aca="false">IF(C1035="","Open","Resolved")</f>
        <v>Resolved</v>
      </c>
      <c r="J1035" s="2" t="str">
        <f aca="false">TEXT(B1035,"yyyy-mm")</f>
        <v>2026-06</v>
      </c>
      <c r="K1035" s="8" t="n">
        <f aca="false">IF(C1035="","",ROUND((C1035-B1035)*24,2))</f>
        <v>3.75</v>
      </c>
      <c r="L1035" s="2" t="n">
        <f aca="false">INDEX('SLA Policy'!$B$2:$B$5,MATCH(E1035,'SLA Policy'!$A$2:$A$5,0))</f>
        <v>4</v>
      </c>
      <c r="M1035" s="2" t="str">
        <f aca="false">IF(K1035="","Open",IF(K1035&lt;=L1035,"Yes","No"))</f>
        <v>Yes</v>
      </c>
    </row>
    <row r="1036" customFormat="false" ht="15" hidden="false" customHeight="false" outlineLevel="0" collapsed="false">
      <c r="A1036" s="2" t="s">
        <v>1070</v>
      </c>
      <c r="B1036" s="7" t="n">
        <v>46175.6784722222</v>
      </c>
      <c r="C1036" s="7" t="n">
        <v>46181.2888888889</v>
      </c>
      <c r="D1036" s="2" t="s">
        <v>42</v>
      </c>
      <c r="E1036" s="2" t="s">
        <v>32</v>
      </c>
      <c r="F1036" s="2" t="s">
        <v>24</v>
      </c>
      <c r="G1036" s="2" t="s">
        <v>29</v>
      </c>
      <c r="H1036" s="2" t="n">
        <v>1</v>
      </c>
      <c r="I1036" s="2" t="str">
        <f aca="false">IF(C1036="","Open","Resolved")</f>
        <v>Resolved</v>
      </c>
      <c r="J1036" s="2" t="str">
        <f aca="false">TEXT(B1036,"yyyy-mm")</f>
        <v>2026-06</v>
      </c>
      <c r="K1036" s="8" t="n">
        <f aca="false">IF(C1036="","",ROUND((C1036-B1036)*24,2))</f>
        <v>134.65</v>
      </c>
      <c r="L1036" s="2" t="n">
        <f aca="false">INDEX('SLA Policy'!$B$2:$B$5,MATCH(E1036,'SLA Policy'!$A$2:$A$5,0))</f>
        <v>72</v>
      </c>
      <c r="M1036" s="2" t="str">
        <f aca="false">IF(K1036="","Open",IF(K1036&lt;=L1036,"Yes","No"))</f>
        <v>No</v>
      </c>
    </row>
    <row r="1037" customFormat="false" ht="15" hidden="false" customHeight="false" outlineLevel="0" collapsed="false">
      <c r="A1037" s="2" t="s">
        <v>1071</v>
      </c>
      <c r="B1037" s="7" t="n">
        <v>46175.6798611111</v>
      </c>
      <c r="C1037" s="7" t="n">
        <v>46176.0569444444</v>
      </c>
      <c r="D1037" s="2" t="s">
        <v>48</v>
      </c>
      <c r="E1037" s="2" t="s">
        <v>23</v>
      </c>
      <c r="F1037" s="2" t="s">
        <v>24</v>
      </c>
      <c r="G1037" s="2" t="s">
        <v>25</v>
      </c>
      <c r="H1037" s="2" t="n">
        <v>3</v>
      </c>
      <c r="I1037" s="2" t="str">
        <f aca="false">IF(C1037="","Open","Resolved")</f>
        <v>Resolved</v>
      </c>
      <c r="J1037" s="2" t="str">
        <f aca="false">TEXT(B1037,"yyyy-mm")</f>
        <v>2026-06</v>
      </c>
      <c r="K1037" s="8" t="n">
        <f aca="false">IF(C1037="","",ROUND((C1037-B1037)*24,2))</f>
        <v>9.05</v>
      </c>
      <c r="L1037" s="2" t="n">
        <f aca="false">INDEX('SLA Policy'!$B$2:$B$5,MATCH(E1037,'SLA Policy'!$A$2:$A$5,0))</f>
        <v>8</v>
      </c>
      <c r="M1037" s="2" t="str">
        <f aca="false">IF(K1037="","Open",IF(K1037&lt;=L1037,"Yes","No"))</f>
        <v>No</v>
      </c>
    </row>
    <row r="1038" customFormat="false" ht="15" hidden="false" customHeight="false" outlineLevel="0" collapsed="false">
      <c r="A1038" s="2" t="s">
        <v>1072</v>
      </c>
      <c r="B1038" s="7" t="n">
        <v>46175.7194444445</v>
      </c>
      <c r="C1038" s="7" t="n">
        <v>46176.7173611111</v>
      </c>
      <c r="D1038" s="2" t="s">
        <v>27</v>
      </c>
      <c r="E1038" s="2" t="s">
        <v>35</v>
      </c>
      <c r="F1038" s="2" t="s">
        <v>27</v>
      </c>
      <c r="G1038" s="2" t="s">
        <v>29</v>
      </c>
      <c r="H1038" s="2" t="n">
        <v>4</v>
      </c>
      <c r="I1038" s="2" t="str">
        <f aca="false">IF(C1038="","Open","Resolved")</f>
        <v>Resolved</v>
      </c>
      <c r="J1038" s="2" t="str">
        <f aca="false">TEXT(B1038,"yyyy-mm")</f>
        <v>2026-06</v>
      </c>
      <c r="K1038" s="8" t="n">
        <f aca="false">IF(C1038="","",ROUND((C1038-B1038)*24,2))</f>
        <v>23.95</v>
      </c>
      <c r="L1038" s="2" t="n">
        <f aca="false">INDEX('SLA Policy'!$B$2:$B$5,MATCH(E1038,'SLA Policy'!$A$2:$A$5,0))</f>
        <v>24</v>
      </c>
      <c r="M1038" s="2" t="str">
        <f aca="false">IF(K1038="","Open",IF(K1038&lt;=L1038,"Yes","No"))</f>
        <v>Yes</v>
      </c>
    </row>
    <row r="1039" customFormat="false" ht="15" hidden="false" customHeight="false" outlineLevel="0" collapsed="false">
      <c r="A1039" s="2" t="s">
        <v>1073</v>
      </c>
      <c r="B1039" s="7" t="n">
        <v>46176.3458333333</v>
      </c>
      <c r="C1039" s="7" t="n">
        <v>46177.7159722222</v>
      </c>
      <c r="D1039" s="2" t="s">
        <v>31</v>
      </c>
      <c r="E1039" s="2" t="s">
        <v>35</v>
      </c>
      <c r="F1039" s="2" t="s">
        <v>27</v>
      </c>
      <c r="G1039" s="2" t="s">
        <v>33</v>
      </c>
      <c r="H1039" s="2" t="n">
        <v>4</v>
      </c>
      <c r="I1039" s="2" t="str">
        <f aca="false">IF(C1039="","Open","Resolved")</f>
        <v>Resolved</v>
      </c>
      <c r="J1039" s="2" t="str">
        <f aca="false">TEXT(B1039,"yyyy-mm")</f>
        <v>2026-06</v>
      </c>
      <c r="K1039" s="8" t="n">
        <f aca="false">IF(C1039="","",ROUND((C1039-B1039)*24,2))</f>
        <v>32.88</v>
      </c>
      <c r="L1039" s="2" t="n">
        <f aca="false">INDEX('SLA Policy'!$B$2:$B$5,MATCH(E1039,'SLA Policy'!$A$2:$A$5,0))</f>
        <v>24</v>
      </c>
      <c r="M1039" s="2" t="str">
        <f aca="false">IF(K1039="","Open",IF(K1039&lt;=L1039,"Yes","No"))</f>
        <v>No</v>
      </c>
    </row>
    <row r="1040" customFormat="false" ht="15" hidden="false" customHeight="false" outlineLevel="0" collapsed="false">
      <c r="A1040" s="2" t="s">
        <v>1074</v>
      </c>
      <c r="B1040" s="7" t="n">
        <v>46176.3847222222</v>
      </c>
      <c r="C1040" s="7" t="n">
        <v>46176.4986111111</v>
      </c>
      <c r="D1040" s="2" t="s">
        <v>42</v>
      </c>
      <c r="E1040" s="2" t="s">
        <v>23</v>
      </c>
      <c r="F1040" s="2" t="s">
        <v>38</v>
      </c>
      <c r="G1040" s="2" t="s">
        <v>29</v>
      </c>
      <c r="H1040" s="2" t="n">
        <v>4</v>
      </c>
      <c r="I1040" s="2" t="str">
        <f aca="false">IF(C1040="","Open","Resolved")</f>
        <v>Resolved</v>
      </c>
      <c r="J1040" s="2" t="str">
        <f aca="false">TEXT(B1040,"yyyy-mm")</f>
        <v>2026-06</v>
      </c>
      <c r="K1040" s="8" t="n">
        <f aca="false">IF(C1040="","",ROUND((C1040-B1040)*24,2))</f>
        <v>2.73</v>
      </c>
      <c r="L1040" s="2" t="n">
        <f aca="false">INDEX('SLA Policy'!$B$2:$B$5,MATCH(E1040,'SLA Policy'!$A$2:$A$5,0))</f>
        <v>8</v>
      </c>
      <c r="M1040" s="2" t="str">
        <f aca="false">IF(K1040="","Open",IF(K1040&lt;=L1040,"Yes","No"))</f>
        <v>Yes</v>
      </c>
    </row>
    <row r="1041" customFormat="false" ht="15" hidden="false" customHeight="false" outlineLevel="0" collapsed="false">
      <c r="A1041" s="2" t="s">
        <v>1075</v>
      </c>
      <c r="B1041" s="7" t="n">
        <v>46176.4048611111</v>
      </c>
      <c r="C1041" s="7" t="n">
        <v>46177.2993055556</v>
      </c>
      <c r="D1041" s="2" t="s">
        <v>31</v>
      </c>
      <c r="E1041" s="2" t="s">
        <v>35</v>
      </c>
      <c r="F1041" s="2" t="s">
        <v>38</v>
      </c>
      <c r="G1041" s="2" t="s">
        <v>33</v>
      </c>
      <c r="H1041" s="2" t="n">
        <v>5</v>
      </c>
      <c r="I1041" s="2" t="str">
        <f aca="false">IF(C1041="","Open","Resolved")</f>
        <v>Resolved</v>
      </c>
      <c r="J1041" s="2" t="str">
        <f aca="false">TEXT(B1041,"yyyy-mm")</f>
        <v>2026-06</v>
      </c>
      <c r="K1041" s="8" t="n">
        <f aca="false">IF(C1041="","",ROUND((C1041-B1041)*24,2))</f>
        <v>21.47</v>
      </c>
      <c r="L1041" s="2" t="n">
        <f aca="false">INDEX('SLA Policy'!$B$2:$B$5,MATCH(E1041,'SLA Policy'!$A$2:$A$5,0))</f>
        <v>24</v>
      </c>
      <c r="M1041" s="2" t="str">
        <f aca="false">IF(K1041="","Open",IF(K1041&lt;=L1041,"Yes","No"))</f>
        <v>Yes</v>
      </c>
    </row>
    <row r="1042" customFormat="false" ht="15" hidden="false" customHeight="false" outlineLevel="0" collapsed="false">
      <c r="A1042" s="2" t="s">
        <v>1076</v>
      </c>
      <c r="B1042" s="7" t="n">
        <v>46176.4229166667</v>
      </c>
      <c r="C1042" s="7" t="n">
        <v>46176.6534722222</v>
      </c>
      <c r="D1042" s="2" t="s">
        <v>42</v>
      </c>
      <c r="E1042" s="2" t="s">
        <v>23</v>
      </c>
      <c r="F1042" s="2" t="s">
        <v>38</v>
      </c>
      <c r="G1042" s="2" t="s">
        <v>29</v>
      </c>
      <c r="H1042" s="2" t="n">
        <v>4</v>
      </c>
      <c r="I1042" s="2" t="str">
        <f aca="false">IF(C1042="","Open","Resolved")</f>
        <v>Resolved</v>
      </c>
      <c r="J1042" s="2" t="str">
        <f aca="false">TEXT(B1042,"yyyy-mm")</f>
        <v>2026-06</v>
      </c>
      <c r="K1042" s="8" t="n">
        <f aca="false">IF(C1042="","",ROUND((C1042-B1042)*24,2))</f>
        <v>5.53</v>
      </c>
      <c r="L1042" s="2" t="n">
        <f aca="false">INDEX('SLA Policy'!$B$2:$B$5,MATCH(E1042,'SLA Policy'!$A$2:$A$5,0))</f>
        <v>8</v>
      </c>
      <c r="M1042" s="2" t="str">
        <f aca="false">IF(K1042="","Open",IF(K1042&lt;=L1042,"Yes","No"))</f>
        <v>Yes</v>
      </c>
    </row>
    <row r="1043" customFormat="false" ht="15" hidden="false" customHeight="false" outlineLevel="0" collapsed="false">
      <c r="A1043" s="2" t="s">
        <v>1077</v>
      </c>
      <c r="B1043" s="7" t="n">
        <v>46176.5194444444</v>
      </c>
      <c r="C1043" s="7" t="n">
        <v>46177.1069444444</v>
      </c>
      <c r="D1043" s="2" t="s">
        <v>27</v>
      </c>
      <c r="E1043" s="2" t="s">
        <v>35</v>
      </c>
      <c r="F1043" s="2" t="s">
        <v>27</v>
      </c>
      <c r="G1043" s="2" t="s">
        <v>29</v>
      </c>
      <c r="H1043" s="2" t="n">
        <v>5</v>
      </c>
      <c r="I1043" s="2" t="str">
        <f aca="false">IF(C1043="","Open","Resolved")</f>
        <v>Resolved</v>
      </c>
      <c r="J1043" s="2" t="str">
        <f aca="false">TEXT(B1043,"yyyy-mm")</f>
        <v>2026-06</v>
      </c>
      <c r="K1043" s="8" t="n">
        <f aca="false">IF(C1043="","",ROUND((C1043-B1043)*24,2))</f>
        <v>14.1</v>
      </c>
      <c r="L1043" s="2" t="n">
        <f aca="false">INDEX('SLA Policy'!$B$2:$B$5,MATCH(E1043,'SLA Policy'!$A$2:$A$5,0))</f>
        <v>24</v>
      </c>
      <c r="M1043" s="2" t="str">
        <f aca="false">IF(K1043="","Open",IF(K1043&lt;=L1043,"Yes","No"))</f>
        <v>Yes</v>
      </c>
    </row>
    <row r="1044" customFormat="false" ht="15" hidden="false" customHeight="false" outlineLevel="0" collapsed="false">
      <c r="A1044" s="2" t="s">
        <v>1078</v>
      </c>
      <c r="B1044" s="7" t="n">
        <v>46176.5951388889</v>
      </c>
      <c r="C1044" s="7" t="n">
        <v>46177.06875</v>
      </c>
      <c r="D1044" s="2" t="s">
        <v>31</v>
      </c>
      <c r="E1044" s="2" t="s">
        <v>23</v>
      </c>
      <c r="F1044" s="2" t="s">
        <v>38</v>
      </c>
      <c r="G1044" s="2" t="s">
        <v>33</v>
      </c>
      <c r="H1044" s="2" t="n">
        <v>4</v>
      </c>
      <c r="I1044" s="2" t="str">
        <f aca="false">IF(C1044="","Open","Resolved")</f>
        <v>Resolved</v>
      </c>
      <c r="J1044" s="2" t="str">
        <f aca="false">TEXT(B1044,"yyyy-mm")</f>
        <v>2026-06</v>
      </c>
      <c r="K1044" s="8" t="n">
        <f aca="false">IF(C1044="","",ROUND((C1044-B1044)*24,2))</f>
        <v>11.37</v>
      </c>
      <c r="L1044" s="2" t="n">
        <f aca="false">INDEX('SLA Policy'!$B$2:$B$5,MATCH(E1044,'SLA Policy'!$A$2:$A$5,0))</f>
        <v>8</v>
      </c>
      <c r="M1044" s="2" t="str">
        <f aca="false">IF(K1044="","Open",IF(K1044&lt;=L1044,"Yes","No"))</f>
        <v>No</v>
      </c>
    </row>
    <row r="1045" customFormat="false" ht="15" hidden="false" customHeight="false" outlineLevel="0" collapsed="false">
      <c r="A1045" s="2" t="s">
        <v>1079</v>
      </c>
      <c r="B1045" s="7" t="n">
        <v>46176.6576388889</v>
      </c>
      <c r="C1045" s="7" t="n">
        <v>46177.81875</v>
      </c>
      <c r="D1045" s="2" t="s">
        <v>31</v>
      </c>
      <c r="E1045" s="2" t="s">
        <v>35</v>
      </c>
      <c r="F1045" s="2" t="s">
        <v>38</v>
      </c>
      <c r="G1045" s="2" t="s">
        <v>33</v>
      </c>
      <c r="H1045" s="2" t="n">
        <v>4</v>
      </c>
      <c r="I1045" s="2" t="str">
        <f aca="false">IF(C1045="","Open","Resolved")</f>
        <v>Resolved</v>
      </c>
      <c r="J1045" s="2" t="str">
        <f aca="false">TEXT(B1045,"yyyy-mm")</f>
        <v>2026-06</v>
      </c>
      <c r="K1045" s="8" t="n">
        <f aca="false">IF(C1045="","",ROUND((C1045-B1045)*24,2))</f>
        <v>27.87</v>
      </c>
      <c r="L1045" s="2" t="n">
        <f aca="false">INDEX('SLA Policy'!$B$2:$B$5,MATCH(E1045,'SLA Policy'!$A$2:$A$5,0))</f>
        <v>24</v>
      </c>
      <c r="M1045" s="2" t="str">
        <f aca="false">IF(K1045="","Open",IF(K1045&lt;=L1045,"Yes","No"))</f>
        <v>No</v>
      </c>
    </row>
    <row r="1046" customFormat="false" ht="15" hidden="false" customHeight="false" outlineLevel="0" collapsed="false">
      <c r="A1046" s="2" t="s">
        <v>1080</v>
      </c>
      <c r="B1046" s="7" t="n">
        <v>46177.3111111111</v>
      </c>
      <c r="C1046" s="7" t="n">
        <v>46181.0243055556</v>
      </c>
      <c r="D1046" s="2" t="s">
        <v>27</v>
      </c>
      <c r="E1046" s="2" t="s">
        <v>32</v>
      </c>
      <c r="F1046" s="2" t="s">
        <v>27</v>
      </c>
      <c r="G1046" s="2" t="s">
        <v>29</v>
      </c>
      <c r="H1046" s="2" t="n">
        <v>3</v>
      </c>
      <c r="I1046" s="2" t="str">
        <f aca="false">IF(C1046="","Open","Resolved")</f>
        <v>Resolved</v>
      </c>
      <c r="J1046" s="2" t="str">
        <f aca="false">TEXT(B1046,"yyyy-mm")</f>
        <v>2026-06</v>
      </c>
      <c r="K1046" s="8" t="n">
        <f aca="false">IF(C1046="","",ROUND((C1046-B1046)*24,2))</f>
        <v>89.12</v>
      </c>
      <c r="L1046" s="2" t="n">
        <f aca="false">INDEX('SLA Policy'!$B$2:$B$5,MATCH(E1046,'SLA Policy'!$A$2:$A$5,0))</f>
        <v>72</v>
      </c>
      <c r="M1046" s="2" t="str">
        <f aca="false">IF(K1046="","Open",IF(K1046&lt;=L1046,"Yes","No"))</f>
        <v>No</v>
      </c>
    </row>
    <row r="1047" customFormat="false" ht="15" hidden="false" customHeight="false" outlineLevel="0" collapsed="false">
      <c r="A1047" s="2" t="s">
        <v>1081</v>
      </c>
      <c r="B1047" s="7" t="n">
        <v>46177.6208333333</v>
      </c>
      <c r="C1047" s="7" t="n">
        <v>46178.8618055556</v>
      </c>
      <c r="D1047" s="2" t="s">
        <v>48</v>
      </c>
      <c r="E1047" s="2" t="s">
        <v>35</v>
      </c>
      <c r="F1047" s="2" t="s">
        <v>28</v>
      </c>
      <c r="G1047" s="2" t="s">
        <v>25</v>
      </c>
      <c r="H1047" s="2" t="n">
        <v>4</v>
      </c>
      <c r="I1047" s="2" t="str">
        <f aca="false">IF(C1047="","Open","Resolved")</f>
        <v>Resolved</v>
      </c>
      <c r="J1047" s="2" t="str">
        <f aca="false">TEXT(B1047,"yyyy-mm")</f>
        <v>2026-06</v>
      </c>
      <c r="K1047" s="8" t="n">
        <f aca="false">IF(C1047="","",ROUND((C1047-B1047)*24,2))</f>
        <v>29.78</v>
      </c>
      <c r="L1047" s="2" t="n">
        <f aca="false">INDEX('SLA Policy'!$B$2:$B$5,MATCH(E1047,'SLA Policy'!$A$2:$A$5,0))</f>
        <v>24</v>
      </c>
      <c r="M1047" s="2" t="str">
        <f aca="false">IF(K1047="","Open",IF(K1047&lt;=L1047,"Yes","No"))</f>
        <v>No</v>
      </c>
    </row>
    <row r="1048" customFormat="false" ht="15" hidden="false" customHeight="false" outlineLevel="0" collapsed="false">
      <c r="A1048" s="2" t="s">
        <v>1082</v>
      </c>
      <c r="B1048" s="7" t="n">
        <v>46177.7097222222</v>
      </c>
      <c r="C1048" s="7" t="n">
        <v>46178.18125</v>
      </c>
      <c r="D1048" s="2" t="s">
        <v>31</v>
      </c>
      <c r="E1048" s="2" t="s">
        <v>35</v>
      </c>
      <c r="F1048" s="2" t="s">
        <v>27</v>
      </c>
      <c r="G1048" s="2" t="s">
        <v>33</v>
      </c>
      <c r="H1048" s="2" t="n">
        <v>5</v>
      </c>
      <c r="I1048" s="2" t="str">
        <f aca="false">IF(C1048="","Open","Resolved")</f>
        <v>Resolved</v>
      </c>
      <c r="J1048" s="2" t="str">
        <f aca="false">TEXT(B1048,"yyyy-mm")</f>
        <v>2026-06</v>
      </c>
      <c r="K1048" s="8" t="n">
        <f aca="false">IF(C1048="","",ROUND((C1048-B1048)*24,2))</f>
        <v>11.32</v>
      </c>
      <c r="L1048" s="2" t="n">
        <f aca="false">INDEX('SLA Policy'!$B$2:$B$5,MATCH(E1048,'SLA Policy'!$A$2:$A$5,0))</f>
        <v>24</v>
      </c>
      <c r="M1048" s="2" t="str">
        <f aca="false">IF(K1048="","Open",IF(K1048&lt;=L1048,"Yes","No"))</f>
        <v>Yes</v>
      </c>
    </row>
    <row r="1049" customFormat="false" ht="15" hidden="false" customHeight="false" outlineLevel="0" collapsed="false">
      <c r="A1049" s="2" t="s">
        <v>1083</v>
      </c>
      <c r="B1049" s="7" t="n">
        <v>46178.3548611111</v>
      </c>
      <c r="C1049" s="7" t="n">
        <v>46179.5361111111</v>
      </c>
      <c r="D1049" s="2" t="s">
        <v>42</v>
      </c>
      <c r="E1049" s="2" t="s">
        <v>32</v>
      </c>
      <c r="F1049" s="2" t="s">
        <v>24</v>
      </c>
      <c r="G1049" s="2" t="s">
        <v>29</v>
      </c>
      <c r="H1049" s="2" t="n">
        <v>3</v>
      </c>
      <c r="I1049" s="2" t="str">
        <f aca="false">IF(C1049="","Open","Resolved")</f>
        <v>Resolved</v>
      </c>
      <c r="J1049" s="2" t="str">
        <f aca="false">TEXT(B1049,"yyyy-mm")</f>
        <v>2026-06</v>
      </c>
      <c r="K1049" s="8" t="n">
        <f aca="false">IF(C1049="","",ROUND((C1049-B1049)*24,2))</f>
        <v>28.35</v>
      </c>
      <c r="L1049" s="2" t="n">
        <f aca="false">INDEX('SLA Policy'!$B$2:$B$5,MATCH(E1049,'SLA Policy'!$A$2:$A$5,0))</f>
        <v>72</v>
      </c>
      <c r="M1049" s="2" t="str">
        <f aca="false">IF(K1049="","Open",IF(K1049&lt;=L1049,"Yes","No"))</f>
        <v>Yes</v>
      </c>
    </row>
    <row r="1050" customFormat="false" ht="15" hidden="false" customHeight="false" outlineLevel="0" collapsed="false">
      <c r="A1050" s="2" t="s">
        <v>1084</v>
      </c>
      <c r="B1050" s="7" t="n">
        <v>46178.3784722222</v>
      </c>
      <c r="C1050" s="7" t="n">
        <v>46179.25</v>
      </c>
      <c r="D1050" s="2" t="s">
        <v>31</v>
      </c>
      <c r="E1050" s="2" t="s">
        <v>35</v>
      </c>
      <c r="F1050" s="2" t="s">
        <v>24</v>
      </c>
      <c r="G1050" s="2" t="s">
        <v>33</v>
      </c>
      <c r="H1050" s="2" t="n">
        <v>3</v>
      </c>
      <c r="I1050" s="2" t="str">
        <f aca="false">IF(C1050="","Open","Resolved")</f>
        <v>Resolved</v>
      </c>
      <c r="J1050" s="2" t="str">
        <f aca="false">TEXT(B1050,"yyyy-mm")</f>
        <v>2026-06</v>
      </c>
      <c r="K1050" s="8" t="n">
        <f aca="false">IF(C1050="","",ROUND((C1050-B1050)*24,2))</f>
        <v>20.92</v>
      </c>
      <c r="L1050" s="2" t="n">
        <f aca="false">INDEX('SLA Policy'!$B$2:$B$5,MATCH(E1050,'SLA Policy'!$A$2:$A$5,0))</f>
        <v>24</v>
      </c>
      <c r="M1050" s="2" t="str">
        <f aca="false">IF(K1050="","Open",IF(K1050&lt;=L1050,"Yes","No"))</f>
        <v>Yes</v>
      </c>
    </row>
    <row r="1051" customFormat="false" ht="15" hidden="false" customHeight="false" outlineLevel="0" collapsed="false">
      <c r="A1051" s="2" t="s">
        <v>1085</v>
      </c>
      <c r="B1051" s="7" t="n">
        <v>46178.3909722222</v>
      </c>
      <c r="C1051" s="7" t="n">
        <v>46179.0972222222</v>
      </c>
      <c r="D1051" s="2" t="s">
        <v>22</v>
      </c>
      <c r="E1051" s="2" t="s">
        <v>35</v>
      </c>
      <c r="F1051" s="2" t="s">
        <v>24</v>
      </c>
      <c r="G1051" s="2" t="s">
        <v>25</v>
      </c>
      <c r="H1051" s="2" t="n">
        <v>5</v>
      </c>
      <c r="I1051" s="2" t="str">
        <f aca="false">IF(C1051="","Open","Resolved")</f>
        <v>Resolved</v>
      </c>
      <c r="J1051" s="2" t="str">
        <f aca="false">TEXT(B1051,"yyyy-mm")</f>
        <v>2026-06</v>
      </c>
      <c r="K1051" s="8" t="n">
        <f aca="false">IF(C1051="","",ROUND((C1051-B1051)*24,2))</f>
        <v>16.95</v>
      </c>
      <c r="L1051" s="2" t="n">
        <f aca="false">INDEX('SLA Policy'!$B$2:$B$5,MATCH(E1051,'SLA Policy'!$A$2:$A$5,0))</f>
        <v>24</v>
      </c>
      <c r="M1051" s="2" t="str">
        <f aca="false">IF(K1051="","Open",IF(K1051&lt;=L1051,"Yes","No"))</f>
        <v>Yes</v>
      </c>
    </row>
    <row r="1052" customFormat="false" ht="15" hidden="false" customHeight="false" outlineLevel="0" collapsed="false">
      <c r="A1052" s="2" t="s">
        <v>1086</v>
      </c>
      <c r="B1052" s="7" t="n">
        <v>46178.4798611111</v>
      </c>
      <c r="C1052" s="7" t="n">
        <v>46179.5722222222</v>
      </c>
      <c r="D1052" s="2" t="s">
        <v>27</v>
      </c>
      <c r="E1052" s="2" t="s">
        <v>35</v>
      </c>
      <c r="F1052" s="2" t="s">
        <v>24</v>
      </c>
      <c r="G1052" s="2" t="s">
        <v>29</v>
      </c>
      <c r="H1052" s="2" t="n">
        <v>4</v>
      </c>
      <c r="I1052" s="2" t="str">
        <f aca="false">IF(C1052="","Open","Resolved")</f>
        <v>Resolved</v>
      </c>
      <c r="J1052" s="2" t="str">
        <f aca="false">TEXT(B1052,"yyyy-mm")</f>
        <v>2026-06</v>
      </c>
      <c r="K1052" s="8" t="n">
        <f aca="false">IF(C1052="","",ROUND((C1052-B1052)*24,2))</f>
        <v>26.22</v>
      </c>
      <c r="L1052" s="2" t="n">
        <f aca="false">INDEX('SLA Policy'!$B$2:$B$5,MATCH(E1052,'SLA Policy'!$A$2:$A$5,0))</f>
        <v>24</v>
      </c>
      <c r="M1052" s="2" t="str">
        <f aca="false">IF(K1052="","Open",IF(K1052&lt;=L1052,"Yes","No"))</f>
        <v>No</v>
      </c>
    </row>
    <row r="1053" customFormat="false" ht="15" hidden="false" customHeight="false" outlineLevel="0" collapsed="false">
      <c r="A1053" s="2" t="s">
        <v>1087</v>
      </c>
      <c r="B1053" s="7" t="n">
        <v>46178.5013888889</v>
      </c>
      <c r="C1053" s="7" t="n">
        <v>46178.8666666667</v>
      </c>
      <c r="D1053" s="2" t="s">
        <v>42</v>
      </c>
      <c r="E1053" s="2" t="s">
        <v>35</v>
      </c>
      <c r="F1053" s="2" t="s">
        <v>27</v>
      </c>
      <c r="G1053" s="2" t="s">
        <v>29</v>
      </c>
      <c r="H1053" s="2" t="n">
        <v>5</v>
      </c>
      <c r="I1053" s="2" t="str">
        <f aca="false">IF(C1053="","Open","Resolved")</f>
        <v>Resolved</v>
      </c>
      <c r="J1053" s="2" t="str">
        <f aca="false">TEXT(B1053,"yyyy-mm")</f>
        <v>2026-06</v>
      </c>
      <c r="K1053" s="8" t="n">
        <f aca="false">IF(C1053="","",ROUND((C1053-B1053)*24,2))</f>
        <v>8.77</v>
      </c>
      <c r="L1053" s="2" t="n">
        <f aca="false">INDEX('SLA Policy'!$B$2:$B$5,MATCH(E1053,'SLA Policy'!$A$2:$A$5,0))</f>
        <v>24</v>
      </c>
      <c r="M1053" s="2" t="str">
        <f aca="false">IF(K1053="","Open",IF(K1053&lt;=L1053,"Yes","No"))</f>
        <v>Yes</v>
      </c>
    </row>
    <row r="1054" customFormat="false" ht="15" hidden="false" customHeight="false" outlineLevel="0" collapsed="false">
      <c r="A1054" s="2" t="s">
        <v>1088</v>
      </c>
      <c r="B1054" s="7" t="n">
        <v>46178.5486111111</v>
      </c>
      <c r="C1054" s="7" t="n">
        <v>46178.8451388889</v>
      </c>
      <c r="D1054" s="2" t="s">
        <v>42</v>
      </c>
      <c r="E1054" s="2" t="s">
        <v>35</v>
      </c>
      <c r="F1054" s="2" t="s">
        <v>24</v>
      </c>
      <c r="G1054" s="2" t="s">
        <v>29</v>
      </c>
      <c r="H1054" s="2" t="n">
        <v>4</v>
      </c>
      <c r="I1054" s="2" t="str">
        <f aca="false">IF(C1054="","Open","Resolved")</f>
        <v>Resolved</v>
      </c>
      <c r="J1054" s="2" t="str">
        <f aca="false">TEXT(B1054,"yyyy-mm")</f>
        <v>2026-06</v>
      </c>
      <c r="K1054" s="8" t="n">
        <f aca="false">IF(C1054="","",ROUND((C1054-B1054)*24,2))</f>
        <v>7.12</v>
      </c>
      <c r="L1054" s="2" t="n">
        <f aca="false">INDEX('SLA Policy'!$B$2:$B$5,MATCH(E1054,'SLA Policy'!$A$2:$A$5,0))</f>
        <v>24</v>
      </c>
      <c r="M1054" s="2" t="str">
        <f aca="false">IF(K1054="","Open",IF(K1054&lt;=L1054,"Yes","No"))</f>
        <v>Yes</v>
      </c>
    </row>
    <row r="1055" customFormat="false" ht="15" hidden="false" customHeight="false" outlineLevel="0" collapsed="false">
      <c r="A1055" s="2" t="s">
        <v>1089</v>
      </c>
      <c r="B1055" s="7" t="n">
        <v>46178.6270833333</v>
      </c>
      <c r="C1055" s="7" t="n">
        <v>46179.8069444444</v>
      </c>
      <c r="D1055" s="2" t="s">
        <v>31</v>
      </c>
      <c r="E1055" s="2" t="s">
        <v>35</v>
      </c>
      <c r="F1055" s="2" t="s">
        <v>27</v>
      </c>
      <c r="G1055" s="2" t="s">
        <v>33</v>
      </c>
      <c r="H1055" s="2" t="n">
        <v>4</v>
      </c>
      <c r="I1055" s="2" t="str">
        <f aca="false">IF(C1055="","Open","Resolved")</f>
        <v>Resolved</v>
      </c>
      <c r="J1055" s="2" t="str">
        <f aca="false">TEXT(B1055,"yyyy-mm")</f>
        <v>2026-06</v>
      </c>
      <c r="K1055" s="8" t="n">
        <f aca="false">IF(C1055="","",ROUND((C1055-B1055)*24,2))</f>
        <v>28.32</v>
      </c>
      <c r="L1055" s="2" t="n">
        <f aca="false">INDEX('SLA Policy'!$B$2:$B$5,MATCH(E1055,'SLA Policy'!$A$2:$A$5,0))</f>
        <v>24</v>
      </c>
      <c r="M1055" s="2" t="str">
        <f aca="false">IF(K1055="","Open",IF(K1055&lt;=L1055,"Yes","No"))</f>
        <v>No</v>
      </c>
    </row>
    <row r="1056" customFormat="false" ht="15" hidden="false" customHeight="false" outlineLevel="0" collapsed="false">
      <c r="A1056" s="2" t="s">
        <v>1090</v>
      </c>
      <c r="B1056" s="7" t="n">
        <v>46178.6569444445</v>
      </c>
      <c r="C1056" s="7" t="n">
        <v>46178.7930555556</v>
      </c>
      <c r="D1056" s="2" t="s">
        <v>42</v>
      </c>
      <c r="E1056" s="2" t="s">
        <v>40</v>
      </c>
      <c r="F1056" s="2" t="s">
        <v>24</v>
      </c>
      <c r="G1056" s="2" t="s">
        <v>29</v>
      </c>
      <c r="H1056" s="2" t="n">
        <v>5</v>
      </c>
      <c r="I1056" s="2" t="str">
        <f aca="false">IF(C1056="","Open","Resolved")</f>
        <v>Resolved</v>
      </c>
      <c r="J1056" s="2" t="str">
        <f aca="false">TEXT(B1056,"yyyy-mm")</f>
        <v>2026-06</v>
      </c>
      <c r="K1056" s="8" t="n">
        <f aca="false">IF(C1056="","",ROUND((C1056-B1056)*24,2))</f>
        <v>3.27</v>
      </c>
      <c r="L1056" s="2" t="n">
        <f aca="false">INDEX('SLA Policy'!$B$2:$B$5,MATCH(E1056,'SLA Policy'!$A$2:$A$5,0))</f>
        <v>4</v>
      </c>
      <c r="M1056" s="2" t="str">
        <f aca="false">IF(K1056="","Open",IF(K1056&lt;=L1056,"Yes","No"))</f>
        <v>Yes</v>
      </c>
    </row>
    <row r="1057" customFormat="false" ht="15" hidden="false" customHeight="false" outlineLevel="0" collapsed="false">
      <c r="A1057" s="2" t="s">
        <v>1091</v>
      </c>
      <c r="B1057" s="7" t="n">
        <v>46178.7902777778</v>
      </c>
      <c r="C1057" s="7" t="n">
        <v>46179.9375</v>
      </c>
      <c r="D1057" s="2" t="s">
        <v>42</v>
      </c>
      <c r="E1057" s="2" t="s">
        <v>32</v>
      </c>
      <c r="F1057" s="2" t="s">
        <v>24</v>
      </c>
      <c r="G1057" s="2" t="s">
        <v>29</v>
      </c>
      <c r="H1057" s="2" t="n">
        <v>4</v>
      </c>
      <c r="I1057" s="2" t="str">
        <f aca="false">IF(C1057="","Open","Resolved")</f>
        <v>Resolved</v>
      </c>
      <c r="J1057" s="2" t="str">
        <f aca="false">TEXT(B1057,"yyyy-mm")</f>
        <v>2026-06</v>
      </c>
      <c r="K1057" s="8" t="n">
        <f aca="false">IF(C1057="","",ROUND((C1057-B1057)*24,2))</f>
        <v>27.53</v>
      </c>
      <c r="L1057" s="2" t="n">
        <f aca="false">INDEX('SLA Policy'!$B$2:$B$5,MATCH(E1057,'SLA Policy'!$A$2:$A$5,0))</f>
        <v>72</v>
      </c>
      <c r="M1057" s="2" t="str">
        <f aca="false">IF(K1057="","Open",IF(K1057&lt;=L1057,"Yes","No"))</f>
        <v>Yes</v>
      </c>
    </row>
    <row r="1058" customFormat="false" ht="15" hidden="false" customHeight="false" outlineLevel="0" collapsed="false">
      <c r="A1058" s="2" t="s">
        <v>1092</v>
      </c>
      <c r="B1058" s="7" t="n">
        <v>46179.3763888889</v>
      </c>
      <c r="C1058" s="7" t="n">
        <v>46180.7083333333</v>
      </c>
      <c r="D1058" s="2" t="s">
        <v>31</v>
      </c>
      <c r="E1058" s="2" t="s">
        <v>32</v>
      </c>
      <c r="F1058" s="2" t="s">
        <v>27</v>
      </c>
      <c r="G1058" s="2" t="s">
        <v>33</v>
      </c>
      <c r="H1058" s="2" t="n">
        <v>3</v>
      </c>
      <c r="I1058" s="2" t="str">
        <f aca="false">IF(C1058="","Open","Resolved")</f>
        <v>Resolved</v>
      </c>
      <c r="J1058" s="2" t="str">
        <f aca="false">TEXT(B1058,"yyyy-mm")</f>
        <v>2026-06</v>
      </c>
      <c r="K1058" s="8" t="n">
        <f aca="false">IF(C1058="","",ROUND((C1058-B1058)*24,2))</f>
        <v>31.97</v>
      </c>
      <c r="L1058" s="2" t="n">
        <f aca="false">INDEX('SLA Policy'!$B$2:$B$5,MATCH(E1058,'SLA Policy'!$A$2:$A$5,0))</f>
        <v>72</v>
      </c>
      <c r="M1058" s="2" t="str">
        <f aca="false">IF(K1058="","Open",IF(K1058&lt;=L1058,"Yes","No"))</f>
        <v>Yes</v>
      </c>
    </row>
    <row r="1059" customFormat="false" ht="15" hidden="false" customHeight="false" outlineLevel="0" collapsed="false">
      <c r="A1059" s="2" t="s">
        <v>1093</v>
      </c>
      <c r="B1059" s="7" t="n">
        <v>46179.5472222222</v>
      </c>
      <c r="C1059" s="7" t="n">
        <v>46181.4618055556</v>
      </c>
      <c r="D1059" s="2" t="s">
        <v>48</v>
      </c>
      <c r="E1059" s="2" t="s">
        <v>35</v>
      </c>
      <c r="F1059" s="2" t="s">
        <v>24</v>
      </c>
      <c r="G1059" s="2" t="s">
        <v>25</v>
      </c>
      <c r="H1059" s="2" t="n">
        <v>3</v>
      </c>
      <c r="I1059" s="2" t="str">
        <f aca="false">IF(C1059="","Open","Resolved")</f>
        <v>Resolved</v>
      </c>
      <c r="J1059" s="2" t="str">
        <f aca="false">TEXT(B1059,"yyyy-mm")</f>
        <v>2026-06</v>
      </c>
      <c r="K1059" s="8" t="n">
        <f aca="false">IF(C1059="","",ROUND((C1059-B1059)*24,2))</f>
        <v>45.95</v>
      </c>
      <c r="L1059" s="2" t="n">
        <f aca="false">INDEX('SLA Policy'!$B$2:$B$5,MATCH(E1059,'SLA Policy'!$A$2:$A$5,0))</f>
        <v>24</v>
      </c>
      <c r="M1059" s="2" t="str">
        <f aca="false">IF(K1059="","Open",IF(K1059&lt;=L1059,"Yes","No"))</f>
        <v>No</v>
      </c>
    </row>
    <row r="1060" customFormat="false" ht="15" hidden="false" customHeight="false" outlineLevel="0" collapsed="false">
      <c r="A1060" s="2" t="s">
        <v>1094</v>
      </c>
      <c r="B1060" s="7" t="n">
        <v>46179.7895833333</v>
      </c>
      <c r="C1060" s="7" t="n">
        <v>46179.9145833333</v>
      </c>
      <c r="D1060" s="2" t="s">
        <v>31</v>
      </c>
      <c r="E1060" s="2" t="s">
        <v>40</v>
      </c>
      <c r="F1060" s="2" t="s">
        <v>24</v>
      </c>
      <c r="G1060" s="2" t="s">
        <v>33</v>
      </c>
      <c r="H1060" s="2" t="n">
        <v>4</v>
      </c>
      <c r="I1060" s="2" t="str">
        <f aca="false">IF(C1060="","Open","Resolved")</f>
        <v>Resolved</v>
      </c>
      <c r="J1060" s="2" t="str">
        <f aca="false">TEXT(B1060,"yyyy-mm")</f>
        <v>2026-06</v>
      </c>
      <c r="K1060" s="8" t="n">
        <f aca="false">IF(C1060="","",ROUND((C1060-B1060)*24,2))</f>
        <v>3</v>
      </c>
      <c r="L1060" s="2" t="n">
        <f aca="false">INDEX('SLA Policy'!$B$2:$B$5,MATCH(E1060,'SLA Policy'!$A$2:$A$5,0))</f>
        <v>4</v>
      </c>
      <c r="M1060" s="2" t="str">
        <f aca="false">IF(K1060="","Open",IF(K1060&lt;=L1060,"Yes","No"))</f>
        <v>Yes</v>
      </c>
    </row>
    <row r="1061" customFormat="false" ht="15" hidden="false" customHeight="false" outlineLevel="0" collapsed="false">
      <c r="A1061" s="2" t="s">
        <v>1095</v>
      </c>
      <c r="B1061" s="7" t="n">
        <v>46180.3111111111</v>
      </c>
      <c r="C1061" s="7" t="n">
        <v>46181.0388888889</v>
      </c>
      <c r="D1061" s="2" t="s">
        <v>31</v>
      </c>
      <c r="E1061" s="2" t="s">
        <v>35</v>
      </c>
      <c r="F1061" s="2" t="s">
        <v>24</v>
      </c>
      <c r="G1061" s="2" t="s">
        <v>33</v>
      </c>
      <c r="H1061" s="2" t="n">
        <v>4</v>
      </c>
      <c r="I1061" s="2" t="str">
        <f aca="false">IF(C1061="","Open","Resolved")</f>
        <v>Resolved</v>
      </c>
      <c r="J1061" s="2" t="str">
        <f aca="false">TEXT(B1061,"yyyy-mm")</f>
        <v>2026-06</v>
      </c>
      <c r="K1061" s="8" t="n">
        <f aca="false">IF(C1061="","",ROUND((C1061-B1061)*24,2))</f>
        <v>17.47</v>
      </c>
      <c r="L1061" s="2" t="n">
        <f aca="false">INDEX('SLA Policy'!$B$2:$B$5,MATCH(E1061,'SLA Policy'!$A$2:$A$5,0))</f>
        <v>24</v>
      </c>
      <c r="M1061" s="2" t="str">
        <f aca="false">IF(K1061="","Open",IF(K1061&lt;=L1061,"Yes","No"))</f>
        <v>Yes</v>
      </c>
    </row>
    <row r="1062" customFormat="false" ht="15" hidden="false" customHeight="false" outlineLevel="0" collapsed="false">
      <c r="A1062" s="2" t="s">
        <v>1096</v>
      </c>
      <c r="B1062" s="7" t="n">
        <v>46180.6923611111</v>
      </c>
      <c r="C1062" s="7" t="n">
        <v>46181.5194444444</v>
      </c>
      <c r="D1062" s="2" t="s">
        <v>27</v>
      </c>
      <c r="E1062" s="2" t="s">
        <v>35</v>
      </c>
      <c r="F1062" s="2" t="s">
        <v>27</v>
      </c>
      <c r="G1062" s="2" t="s">
        <v>29</v>
      </c>
      <c r="H1062" s="2" t="n">
        <v>5</v>
      </c>
      <c r="I1062" s="2" t="str">
        <f aca="false">IF(C1062="","Open","Resolved")</f>
        <v>Resolved</v>
      </c>
      <c r="J1062" s="2" t="str">
        <f aca="false">TEXT(B1062,"yyyy-mm")</f>
        <v>2026-06</v>
      </c>
      <c r="K1062" s="8" t="n">
        <f aca="false">IF(C1062="","",ROUND((C1062-B1062)*24,2))</f>
        <v>19.85</v>
      </c>
      <c r="L1062" s="2" t="n">
        <f aca="false">INDEX('SLA Policy'!$B$2:$B$5,MATCH(E1062,'SLA Policy'!$A$2:$A$5,0))</f>
        <v>24</v>
      </c>
      <c r="M1062" s="2" t="str">
        <f aca="false">IF(K1062="","Open",IF(K1062&lt;=L1062,"Yes","No"))</f>
        <v>Yes</v>
      </c>
    </row>
    <row r="1063" customFormat="false" ht="15" hidden="false" customHeight="false" outlineLevel="0" collapsed="false">
      <c r="A1063" s="2" t="s">
        <v>1097</v>
      </c>
      <c r="B1063" s="7" t="n">
        <v>46181.425</v>
      </c>
      <c r="C1063" s="7" t="n">
        <v>46181.6375</v>
      </c>
      <c r="D1063" s="2" t="s">
        <v>31</v>
      </c>
      <c r="E1063" s="2" t="s">
        <v>23</v>
      </c>
      <c r="F1063" s="2" t="s">
        <v>28</v>
      </c>
      <c r="G1063" s="2" t="s">
        <v>33</v>
      </c>
      <c r="H1063" s="2" t="n">
        <v>4</v>
      </c>
      <c r="I1063" s="2" t="str">
        <f aca="false">IF(C1063="","Open","Resolved")</f>
        <v>Resolved</v>
      </c>
      <c r="J1063" s="2" t="str">
        <f aca="false">TEXT(B1063,"yyyy-mm")</f>
        <v>2026-06</v>
      </c>
      <c r="K1063" s="8" t="n">
        <f aca="false">IF(C1063="","",ROUND((C1063-B1063)*24,2))</f>
        <v>5.1</v>
      </c>
      <c r="L1063" s="2" t="n">
        <f aca="false">INDEX('SLA Policy'!$B$2:$B$5,MATCH(E1063,'SLA Policy'!$A$2:$A$5,0))</f>
        <v>8</v>
      </c>
      <c r="M1063" s="2" t="str">
        <f aca="false">IF(K1063="","Open",IF(K1063&lt;=L1063,"Yes","No"))</f>
        <v>Yes</v>
      </c>
    </row>
    <row r="1064" customFormat="false" ht="15" hidden="false" customHeight="false" outlineLevel="0" collapsed="false">
      <c r="A1064" s="2" t="s">
        <v>1098</v>
      </c>
      <c r="B1064" s="7" t="n">
        <v>46181.4743055556</v>
      </c>
      <c r="C1064" s="7" t="n">
        <v>46182.1034722222</v>
      </c>
      <c r="D1064" s="2" t="s">
        <v>31</v>
      </c>
      <c r="E1064" s="2" t="s">
        <v>23</v>
      </c>
      <c r="F1064" s="2" t="s">
        <v>27</v>
      </c>
      <c r="G1064" s="2" t="s">
        <v>33</v>
      </c>
      <c r="H1064" s="2" t="n">
        <v>5</v>
      </c>
      <c r="I1064" s="2" t="str">
        <f aca="false">IF(C1064="","Open","Resolved")</f>
        <v>Resolved</v>
      </c>
      <c r="J1064" s="2" t="str">
        <f aca="false">TEXT(B1064,"yyyy-mm")</f>
        <v>2026-06</v>
      </c>
      <c r="K1064" s="8" t="n">
        <f aca="false">IF(C1064="","",ROUND((C1064-B1064)*24,2))</f>
        <v>15.1</v>
      </c>
      <c r="L1064" s="2" t="n">
        <f aca="false">INDEX('SLA Policy'!$B$2:$B$5,MATCH(E1064,'SLA Policy'!$A$2:$A$5,0))</f>
        <v>8</v>
      </c>
      <c r="M1064" s="2" t="str">
        <f aca="false">IF(K1064="","Open",IF(K1064&lt;=L1064,"Yes","No"))</f>
        <v>No</v>
      </c>
    </row>
    <row r="1065" customFormat="false" ht="15" hidden="false" customHeight="false" outlineLevel="0" collapsed="false">
      <c r="A1065" s="2" t="s">
        <v>1099</v>
      </c>
      <c r="B1065" s="7" t="n">
        <v>46181.5083333333</v>
      </c>
      <c r="C1065" s="7" t="n">
        <v>46182.7638888889</v>
      </c>
      <c r="D1065" s="2" t="s">
        <v>31</v>
      </c>
      <c r="E1065" s="2" t="s">
        <v>35</v>
      </c>
      <c r="F1065" s="2" t="s">
        <v>38</v>
      </c>
      <c r="G1065" s="2" t="s">
        <v>33</v>
      </c>
      <c r="H1065" s="2" t="n">
        <v>3</v>
      </c>
      <c r="I1065" s="2" t="str">
        <f aca="false">IF(C1065="","Open","Resolved")</f>
        <v>Resolved</v>
      </c>
      <c r="J1065" s="2" t="str">
        <f aca="false">TEXT(B1065,"yyyy-mm")</f>
        <v>2026-06</v>
      </c>
      <c r="K1065" s="8" t="n">
        <f aca="false">IF(C1065="","",ROUND((C1065-B1065)*24,2))</f>
        <v>30.13</v>
      </c>
      <c r="L1065" s="2" t="n">
        <f aca="false">INDEX('SLA Policy'!$B$2:$B$5,MATCH(E1065,'SLA Policy'!$A$2:$A$5,0))</f>
        <v>24</v>
      </c>
      <c r="M1065" s="2" t="str">
        <f aca="false">IF(K1065="","Open",IF(K1065&lt;=L1065,"Yes","No"))</f>
        <v>No</v>
      </c>
    </row>
    <row r="1066" customFormat="false" ht="15" hidden="false" customHeight="false" outlineLevel="0" collapsed="false">
      <c r="A1066" s="2" t="s">
        <v>1100</v>
      </c>
      <c r="B1066" s="7" t="n">
        <v>46181.7076388889</v>
      </c>
      <c r="C1066" s="7" t="n">
        <v>46182.1569444445</v>
      </c>
      <c r="D1066" s="2" t="s">
        <v>27</v>
      </c>
      <c r="E1066" s="2" t="s">
        <v>35</v>
      </c>
      <c r="F1066" s="2" t="s">
        <v>27</v>
      </c>
      <c r="G1066" s="2" t="s">
        <v>29</v>
      </c>
      <c r="H1066" s="2" t="n">
        <v>5</v>
      </c>
      <c r="I1066" s="2" t="str">
        <f aca="false">IF(C1066="","Open","Resolved")</f>
        <v>Resolved</v>
      </c>
      <c r="J1066" s="2" t="str">
        <f aca="false">TEXT(B1066,"yyyy-mm")</f>
        <v>2026-06</v>
      </c>
      <c r="K1066" s="8" t="n">
        <f aca="false">IF(C1066="","",ROUND((C1066-B1066)*24,2))</f>
        <v>10.78</v>
      </c>
      <c r="L1066" s="2" t="n">
        <f aca="false">INDEX('SLA Policy'!$B$2:$B$5,MATCH(E1066,'SLA Policy'!$A$2:$A$5,0))</f>
        <v>24</v>
      </c>
      <c r="M1066" s="2" t="str">
        <f aca="false">IF(K1066="","Open",IF(K1066&lt;=L1066,"Yes","No"))</f>
        <v>Yes</v>
      </c>
    </row>
    <row r="1067" customFormat="false" ht="15" hidden="false" customHeight="false" outlineLevel="0" collapsed="false">
      <c r="A1067" s="2" t="s">
        <v>1101</v>
      </c>
      <c r="B1067" s="7" t="n">
        <v>46181.75625</v>
      </c>
      <c r="C1067" s="7" t="n">
        <v>46182.2923611111</v>
      </c>
      <c r="D1067" s="2" t="s">
        <v>42</v>
      </c>
      <c r="E1067" s="2" t="s">
        <v>35</v>
      </c>
      <c r="F1067" s="2" t="s">
        <v>24</v>
      </c>
      <c r="G1067" s="2" t="s">
        <v>29</v>
      </c>
      <c r="H1067" s="2" t="n">
        <v>5</v>
      </c>
      <c r="I1067" s="2" t="str">
        <f aca="false">IF(C1067="","Open","Resolved")</f>
        <v>Resolved</v>
      </c>
      <c r="J1067" s="2" t="str">
        <f aca="false">TEXT(B1067,"yyyy-mm")</f>
        <v>2026-06</v>
      </c>
      <c r="K1067" s="8" t="n">
        <f aca="false">IF(C1067="","",ROUND((C1067-B1067)*24,2))</f>
        <v>12.87</v>
      </c>
      <c r="L1067" s="2" t="n">
        <f aca="false">INDEX('SLA Policy'!$B$2:$B$5,MATCH(E1067,'SLA Policy'!$A$2:$A$5,0))</f>
        <v>24</v>
      </c>
      <c r="M1067" s="2" t="str">
        <f aca="false">IF(K1067="","Open",IF(K1067&lt;=L1067,"Yes","No"))</f>
        <v>Yes</v>
      </c>
    </row>
    <row r="1068" customFormat="false" ht="15" hidden="false" customHeight="false" outlineLevel="0" collapsed="false">
      <c r="A1068" s="2" t="s">
        <v>1102</v>
      </c>
      <c r="B1068" s="7" t="n">
        <v>46181.7631944444</v>
      </c>
      <c r="C1068" s="7" t="n">
        <v>46182.5770833333</v>
      </c>
      <c r="D1068" s="2" t="s">
        <v>42</v>
      </c>
      <c r="E1068" s="2" t="s">
        <v>32</v>
      </c>
      <c r="F1068" s="2" t="s">
        <v>38</v>
      </c>
      <c r="G1068" s="2" t="s">
        <v>29</v>
      </c>
      <c r="H1068" s="2" t="n">
        <v>4</v>
      </c>
      <c r="I1068" s="2" t="str">
        <f aca="false">IF(C1068="","Open","Resolved")</f>
        <v>Resolved</v>
      </c>
      <c r="J1068" s="2" t="str">
        <f aca="false">TEXT(B1068,"yyyy-mm")</f>
        <v>2026-06</v>
      </c>
      <c r="K1068" s="8" t="n">
        <f aca="false">IF(C1068="","",ROUND((C1068-B1068)*24,2))</f>
        <v>19.53</v>
      </c>
      <c r="L1068" s="2" t="n">
        <f aca="false">INDEX('SLA Policy'!$B$2:$B$5,MATCH(E1068,'SLA Policy'!$A$2:$A$5,0))</f>
        <v>72</v>
      </c>
      <c r="M1068" s="2" t="str">
        <f aca="false">IF(K1068="","Open",IF(K1068&lt;=L1068,"Yes","No"))</f>
        <v>Yes</v>
      </c>
    </row>
    <row r="1069" customFormat="false" ht="15" hidden="false" customHeight="false" outlineLevel="0" collapsed="false">
      <c r="A1069" s="2" t="s">
        <v>1103</v>
      </c>
      <c r="B1069" s="7" t="n">
        <v>46182.4604166667</v>
      </c>
      <c r="C1069" s="7" t="n">
        <v>46185.4541666667</v>
      </c>
      <c r="D1069" s="2" t="s">
        <v>22</v>
      </c>
      <c r="E1069" s="2" t="s">
        <v>32</v>
      </c>
      <c r="F1069" s="2" t="s">
        <v>27</v>
      </c>
      <c r="G1069" s="2" t="s">
        <v>25</v>
      </c>
      <c r="H1069" s="2" t="n">
        <v>3</v>
      </c>
      <c r="I1069" s="2" t="str">
        <f aca="false">IF(C1069="","Open","Resolved")</f>
        <v>Resolved</v>
      </c>
      <c r="J1069" s="2" t="str">
        <f aca="false">TEXT(B1069,"yyyy-mm")</f>
        <v>2026-06</v>
      </c>
      <c r="K1069" s="8" t="n">
        <f aca="false">IF(C1069="","",ROUND((C1069-B1069)*24,2))</f>
        <v>71.85</v>
      </c>
      <c r="L1069" s="2" t="n">
        <f aca="false">INDEX('SLA Policy'!$B$2:$B$5,MATCH(E1069,'SLA Policy'!$A$2:$A$5,0))</f>
        <v>72</v>
      </c>
      <c r="M1069" s="2" t="str">
        <f aca="false">IF(K1069="","Open",IF(K1069&lt;=L1069,"Yes","No"))</f>
        <v>Yes</v>
      </c>
    </row>
    <row r="1070" customFormat="false" ht="15" hidden="false" customHeight="false" outlineLevel="0" collapsed="false">
      <c r="A1070" s="2" t="s">
        <v>1104</v>
      </c>
      <c r="B1070" s="7" t="n">
        <v>46182.5090277778</v>
      </c>
      <c r="C1070" s="7" t="n">
        <v>46182.6291666667</v>
      </c>
      <c r="D1070" s="2" t="s">
        <v>42</v>
      </c>
      <c r="E1070" s="2" t="s">
        <v>23</v>
      </c>
      <c r="F1070" s="2" t="s">
        <v>38</v>
      </c>
      <c r="G1070" s="2" t="s">
        <v>29</v>
      </c>
      <c r="H1070" s="2" t="n">
        <v>5</v>
      </c>
      <c r="I1070" s="2" t="str">
        <f aca="false">IF(C1070="","Open","Resolved")</f>
        <v>Resolved</v>
      </c>
      <c r="J1070" s="2" t="str">
        <f aca="false">TEXT(B1070,"yyyy-mm")</f>
        <v>2026-06</v>
      </c>
      <c r="K1070" s="8" t="n">
        <f aca="false">IF(C1070="","",ROUND((C1070-B1070)*24,2))</f>
        <v>2.88</v>
      </c>
      <c r="L1070" s="2" t="n">
        <f aca="false">INDEX('SLA Policy'!$B$2:$B$5,MATCH(E1070,'SLA Policy'!$A$2:$A$5,0))</f>
        <v>8</v>
      </c>
      <c r="M1070" s="2" t="str">
        <f aca="false">IF(K1070="","Open",IF(K1070&lt;=L1070,"Yes","No"))</f>
        <v>Yes</v>
      </c>
    </row>
    <row r="1071" customFormat="false" ht="15" hidden="false" customHeight="false" outlineLevel="0" collapsed="false">
      <c r="A1071" s="2" t="s">
        <v>1105</v>
      </c>
      <c r="B1071" s="7" t="n">
        <v>46182.5673611111</v>
      </c>
      <c r="C1071" s="7" t="n">
        <v>46182.6993055556</v>
      </c>
      <c r="D1071" s="2" t="s">
        <v>42</v>
      </c>
      <c r="E1071" s="2" t="s">
        <v>35</v>
      </c>
      <c r="F1071" s="2" t="s">
        <v>28</v>
      </c>
      <c r="G1071" s="2" t="s">
        <v>29</v>
      </c>
      <c r="H1071" s="2" t="n">
        <v>4</v>
      </c>
      <c r="I1071" s="2" t="str">
        <f aca="false">IF(C1071="","Open","Resolved")</f>
        <v>Resolved</v>
      </c>
      <c r="J1071" s="2" t="str">
        <f aca="false">TEXT(B1071,"yyyy-mm")</f>
        <v>2026-06</v>
      </c>
      <c r="K1071" s="8" t="n">
        <f aca="false">IF(C1071="","",ROUND((C1071-B1071)*24,2))</f>
        <v>3.17</v>
      </c>
      <c r="L1071" s="2" t="n">
        <f aca="false">INDEX('SLA Policy'!$B$2:$B$5,MATCH(E1071,'SLA Policy'!$A$2:$A$5,0))</f>
        <v>24</v>
      </c>
      <c r="M1071" s="2" t="str">
        <f aca="false">IF(K1071="","Open",IF(K1071&lt;=L1071,"Yes","No"))</f>
        <v>Yes</v>
      </c>
    </row>
    <row r="1072" customFormat="false" ht="15" hidden="false" customHeight="false" outlineLevel="0" collapsed="false">
      <c r="A1072" s="2" t="s">
        <v>1106</v>
      </c>
      <c r="B1072" s="7" t="n">
        <v>46182.5979166667</v>
      </c>
      <c r="C1072" s="7" t="n">
        <v>46182.9423611111</v>
      </c>
      <c r="D1072" s="2" t="s">
        <v>42</v>
      </c>
      <c r="E1072" s="2" t="s">
        <v>35</v>
      </c>
      <c r="F1072" s="2" t="s">
        <v>24</v>
      </c>
      <c r="G1072" s="2" t="s">
        <v>29</v>
      </c>
      <c r="H1072" s="2" t="n">
        <v>4</v>
      </c>
      <c r="I1072" s="2" t="str">
        <f aca="false">IF(C1072="","Open","Resolved")</f>
        <v>Resolved</v>
      </c>
      <c r="J1072" s="2" t="str">
        <f aca="false">TEXT(B1072,"yyyy-mm")</f>
        <v>2026-06</v>
      </c>
      <c r="K1072" s="8" t="n">
        <f aca="false">IF(C1072="","",ROUND((C1072-B1072)*24,2))</f>
        <v>8.27</v>
      </c>
      <c r="L1072" s="2" t="n">
        <f aca="false">INDEX('SLA Policy'!$B$2:$B$5,MATCH(E1072,'SLA Policy'!$A$2:$A$5,0))</f>
        <v>24</v>
      </c>
      <c r="M1072" s="2" t="str">
        <f aca="false">IF(K1072="","Open",IF(K1072&lt;=L1072,"Yes","No"))</f>
        <v>Yes</v>
      </c>
    </row>
    <row r="1073" customFormat="false" ht="15" hidden="false" customHeight="false" outlineLevel="0" collapsed="false">
      <c r="A1073" s="2" t="s">
        <v>1107</v>
      </c>
      <c r="B1073" s="7" t="n">
        <v>46182.6826388889</v>
      </c>
      <c r="C1073" s="7" t="n">
        <v>46184.0097222222</v>
      </c>
      <c r="D1073" s="2" t="s">
        <v>27</v>
      </c>
      <c r="E1073" s="2" t="s">
        <v>32</v>
      </c>
      <c r="F1073" s="2" t="s">
        <v>38</v>
      </c>
      <c r="G1073" s="2" t="s">
        <v>29</v>
      </c>
      <c r="H1073" s="2" t="n">
        <v>4</v>
      </c>
      <c r="I1073" s="2" t="str">
        <f aca="false">IF(C1073="","Open","Resolved")</f>
        <v>Resolved</v>
      </c>
      <c r="J1073" s="2" t="str">
        <f aca="false">TEXT(B1073,"yyyy-mm")</f>
        <v>2026-06</v>
      </c>
      <c r="K1073" s="8" t="n">
        <f aca="false">IF(C1073="","",ROUND((C1073-B1073)*24,2))</f>
        <v>31.85</v>
      </c>
      <c r="L1073" s="2" t="n">
        <f aca="false">INDEX('SLA Policy'!$B$2:$B$5,MATCH(E1073,'SLA Policy'!$A$2:$A$5,0))</f>
        <v>72</v>
      </c>
      <c r="M1073" s="2" t="str">
        <f aca="false">IF(K1073="","Open",IF(K1073&lt;=L1073,"Yes","No"))</f>
        <v>Yes</v>
      </c>
    </row>
    <row r="1074" customFormat="false" ht="15" hidden="false" customHeight="false" outlineLevel="0" collapsed="false">
      <c r="A1074" s="2" t="s">
        <v>1108</v>
      </c>
      <c r="B1074" s="7" t="n">
        <v>46182.6833333333</v>
      </c>
      <c r="C1074" s="7" t="n">
        <v>46183.6048611111</v>
      </c>
      <c r="D1074" s="2" t="s">
        <v>48</v>
      </c>
      <c r="E1074" s="2" t="s">
        <v>23</v>
      </c>
      <c r="F1074" s="2" t="s">
        <v>27</v>
      </c>
      <c r="G1074" s="2" t="s">
        <v>25</v>
      </c>
      <c r="H1074" s="2" t="n">
        <v>4</v>
      </c>
      <c r="I1074" s="2" t="str">
        <f aca="false">IF(C1074="","Open","Resolved")</f>
        <v>Resolved</v>
      </c>
      <c r="J1074" s="2" t="str">
        <f aca="false">TEXT(B1074,"yyyy-mm")</f>
        <v>2026-06</v>
      </c>
      <c r="K1074" s="8" t="n">
        <f aca="false">IF(C1074="","",ROUND((C1074-B1074)*24,2))</f>
        <v>22.12</v>
      </c>
      <c r="L1074" s="2" t="n">
        <f aca="false">INDEX('SLA Policy'!$B$2:$B$5,MATCH(E1074,'SLA Policy'!$A$2:$A$5,0))</f>
        <v>8</v>
      </c>
      <c r="M1074" s="2" t="str">
        <f aca="false">IF(K1074="","Open",IF(K1074&lt;=L1074,"Yes","No"))</f>
        <v>No</v>
      </c>
    </row>
    <row r="1075" customFormat="false" ht="15" hidden="false" customHeight="false" outlineLevel="0" collapsed="false">
      <c r="A1075" s="2" t="s">
        <v>1109</v>
      </c>
      <c r="B1075" s="7" t="n">
        <v>46182.6847222222</v>
      </c>
      <c r="C1075" s="7" t="n">
        <v>46186.6208333333</v>
      </c>
      <c r="D1075" s="2" t="s">
        <v>22</v>
      </c>
      <c r="E1075" s="2" t="s">
        <v>32</v>
      </c>
      <c r="F1075" s="2" t="s">
        <v>28</v>
      </c>
      <c r="G1075" s="2" t="s">
        <v>25</v>
      </c>
      <c r="H1075" s="2" t="n">
        <v>1</v>
      </c>
      <c r="I1075" s="2" t="str">
        <f aca="false">IF(C1075="","Open","Resolved")</f>
        <v>Resolved</v>
      </c>
      <c r="J1075" s="2" t="str">
        <f aca="false">TEXT(B1075,"yyyy-mm")</f>
        <v>2026-06</v>
      </c>
      <c r="K1075" s="8" t="n">
        <f aca="false">IF(C1075="","",ROUND((C1075-B1075)*24,2))</f>
        <v>94.47</v>
      </c>
      <c r="L1075" s="2" t="n">
        <f aca="false">INDEX('SLA Policy'!$B$2:$B$5,MATCH(E1075,'SLA Policy'!$A$2:$A$5,0))</f>
        <v>72</v>
      </c>
      <c r="M1075" s="2" t="str">
        <f aca="false">IF(K1075="","Open",IF(K1075&lt;=L1075,"Yes","No"))</f>
        <v>No</v>
      </c>
    </row>
    <row r="1076" customFormat="false" ht="15" hidden="false" customHeight="false" outlineLevel="0" collapsed="false">
      <c r="A1076" s="2" t="s">
        <v>1110</v>
      </c>
      <c r="B1076" s="7" t="n">
        <v>46182.7909722222</v>
      </c>
      <c r="C1076" s="7" t="n">
        <v>46187.1076388889</v>
      </c>
      <c r="D1076" s="2" t="s">
        <v>22</v>
      </c>
      <c r="E1076" s="2" t="s">
        <v>32</v>
      </c>
      <c r="F1076" s="2" t="s">
        <v>38</v>
      </c>
      <c r="G1076" s="2" t="s">
        <v>25</v>
      </c>
      <c r="H1076" s="2" t="n">
        <v>1</v>
      </c>
      <c r="I1076" s="2" t="str">
        <f aca="false">IF(C1076="","Open","Resolved")</f>
        <v>Resolved</v>
      </c>
      <c r="J1076" s="2" t="str">
        <f aca="false">TEXT(B1076,"yyyy-mm")</f>
        <v>2026-06</v>
      </c>
      <c r="K1076" s="8" t="n">
        <f aca="false">IF(C1076="","",ROUND((C1076-B1076)*24,2))</f>
        <v>103.6</v>
      </c>
      <c r="L1076" s="2" t="n">
        <f aca="false">INDEX('SLA Policy'!$B$2:$B$5,MATCH(E1076,'SLA Policy'!$A$2:$A$5,0))</f>
        <v>72</v>
      </c>
      <c r="M1076" s="2" t="str">
        <f aca="false">IF(K1076="","Open",IF(K1076&lt;=L1076,"Yes","No"))</f>
        <v>No</v>
      </c>
    </row>
    <row r="1077" customFormat="false" ht="15" hidden="false" customHeight="false" outlineLevel="0" collapsed="false">
      <c r="A1077" s="2" t="s">
        <v>1111</v>
      </c>
      <c r="B1077" s="7" t="n">
        <v>46183.3909722222</v>
      </c>
      <c r="C1077" s="7" t="n">
        <v>46184.7034722222</v>
      </c>
      <c r="D1077" s="2" t="s">
        <v>22</v>
      </c>
      <c r="E1077" s="2" t="s">
        <v>35</v>
      </c>
      <c r="F1077" s="2" t="s">
        <v>28</v>
      </c>
      <c r="G1077" s="2" t="s">
        <v>25</v>
      </c>
      <c r="H1077" s="2" t="n">
        <v>3</v>
      </c>
      <c r="I1077" s="2" t="str">
        <f aca="false">IF(C1077="","Open","Resolved")</f>
        <v>Resolved</v>
      </c>
      <c r="J1077" s="2" t="str">
        <f aca="false">TEXT(B1077,"yyyy-mm")</f>
        <v>2026-06</v>
      </c>
      <c r="K1077" s="8" t="n">
        <f aca="false">IF(C1077="","",ROUND((C1077-B1077)*24,2))</f>
        <v>31.5</v>
      </c>
      <c r="L1077" s="2" t="n">
        <f aca="false">INDEX('SLA Policy'!$B$2:$B$5,MATCH(E1077,'SLA Policy'!$A$2:$A$5,0))</f>
        <v>24</v>
      </c>
      <c r="M1077" s="2" t="str">
        <f aca="false">IF(K1077="","Open",IF(K1077&lt;=L1077,"Yes","No"))</f>
        <v>No</v>
      </c>
    </row>
    <row r="1078" customFormat="false" ht="15" hidden="false" customHeight="false" outlineLevel="0" collapsed="false">
      <c r="A1078" s="2" t="s">
        <v>1112</v>
      </c>
      <c r="B1078" s="7" t="n">
        <v>46183.4347222222</v>
      </c>
      <c r="C1078" s="7" t="n">
        <v>46183.6208333333</v>
      </c>
      <c r="D1078" s="2" t="s">
        <v>42</v>
      </c>
      <c r="E1078" s="2" t="s">
        <v>23</v>
      </c>
      <c r="F1078" s="2" t="s">
        <v>27</v>
      </c>
      <c r="G1078" s="2" t="s">
        <v>29</v>
      </c>
      <c r="H1078" s="2" t="n">
        <v>5</v>
      </c>
      <c r="I1078" s="2" t="str">
        <f aca="false">IF(C1078="","Open","Resolved")</f>
        <v>Resolved</v>
      </c>
      <c r="J1078" s="2" t="str">
        <f aca="false">TEXT(B1078,"yyyy-mm")</f>
        <v>2026-06</v>
      </c>
      <c r="K1078" s="8" t="n">
        <f aca="false">IF(C1078="","",ROUND((C1078-B1078)*24,2))</f>
        <v>4.47</v>
      </c>
      <c r="L1078" s="2" t="n">
        <f aca="false">INDEX('SLA Policy'!$B$2:$B$5,MATCH(E1078,'SLA Policy'!$A$2:$A$5,0))</f>
        <v>8</v>
      </c>
      <c r="M1078" s="2" t="str">
        <f aca="false">IF(K1078="","Open",IF(K1078&lt;=L1078,"Yes","No"))</f>
        <v>Yes</v>
      </c>
    </row>
    <row r="1079" customFormat="false" ht="15" hidden="false" customHeight="false" outlineLevel="0" collapsed="false">
      <c r="A1079" s="2" t="s">
        <v>1113</v>
      </c>
      <c r="B1079" s="7" t="n">
        <v>46183.4493055556</v>
      </c>
      <c r="C1079" s="7" t="n">
        <v>46191.0666666667</v>
      </c>
      <c r="D1079" s="2" t="s">
        <v>48</v>
      </c>
      <c r="E1079" s="2" t="s">
        <v>32</v>
      </c>
      <c r="F1079" s="2" t="s">
        <v>24</v>
      </c>
      <c r="G1079" s="2" t="s">
        <v>25</v>
      </c>
      <c r="H1079" s="2" t="n">
        <v>1</v>
      </c>
      <c r="I1079" s="2" t="str">
        <f aca="false">IF(C1079="","Open","Resolved")</f>
        <v>Resolved</v>
      </c>
      <c r="J1079" s="2" t="str">
        <f aca="false">TEXT(B1079,"yyyy-mm")</f>
        <v>2026-06</v>
      </c>
      <c r="K1079" s="8" t="n">
        <f aca="false">IF(C1079="","",ROUND((C1079-B1079)*24,2))</f>
        <v>182.82</v>
      </c>
      <c r="L1079" s="2" t="n">
        <f aca="false">INDEX('SLA Policy'!$B$2:$B$5,MATCH(E1079,'SLA Policy'!$A$2:$A$5,0))</f>
        <v>72</v>
      </c>
      <c r="M1079" s="2" t="str">
        <f aca="false">IF(K1079="","Open",IF(K1079&lt;=L1079,"Yes","No"))</f>
        <v>No</v>
      </c>
    </row>
    <row r="1080" customFormat="false" ht="15" hidden="false" customHeight="false" outlineLevel="0" collapsed="false">
      <c r="A1080" s="2" t="s">
        <v>1114</v>
      </c>
      <c r="B1080" s="7" t="n">
        <v>46183.4965277778</v>
      </c>
      <c r="C1080" s="7" t="n">
        <v>46183.8993055556</v>
      </c>
      <c r="D1080" s="2" t="s">
        <v>27</v>
      </c>
      <c r="E1080" s="2" t="s">
        <v>35</v>
      </c>
      <c r="F1080" s="2" t="s">
        <v>27</v>
      </c>
      <c r="G1080" s="2" t="s">
        <v>29</v>
      </c>
      <c r="H1080" s="2" t="n">
        <v>4</v>
      </c>
      <c r="I1080" s="2" t="str">
        <f aca="false">IF(C1080="","Open","Resolved")</f>
        <v>Resolved</v>
      </c>
      <c r="J1080" s="2" t="str">
        <f aca="false">TEXT(B1080,"yyyy-mm")</f>
        <v>2026-06</v>
      </c>
      <c r="K1080" s="8" t="n">
        <f aca="false">IF(C1080="","",ROUND((C1080-B1080)*24,2))</f>
        <v>9.67</v>
      </c>
      <c r="L1080" s="2" t="n">
        <f aca="false">INDEX('SLA Policy'!$B$2:$B$5,MATCH(E1080,'SLA Policy'!$A$2:$A$5,0))</f>
        <v>24</v>
      </c>
      <c r="M1080" s="2" t="str">
        <f aca="false">IF(K1080="","Open",IF(K1080&lt;=L1080,"Yes","No"))</f>
        <v>Yes</v>
      </c>
    </row>
    <row r="1081" customFormat="false" ht="15" hidden="false" customHeight="false" outlineLevel="0" collapsed="false">
      <c r="A1081" s="2" t="s">
        <v>1115</v>
      </c>
      <c r="B1081" s="7" t="n">
        <v>46183.7430555556</v>
      </c>
      <c r="C1081" s="7" t="n">
        <v>46184.5284722222</v>
      </c>
      <c r="D1081" s="2" t="s">
        <v>31</v>
      </c>
      <c r="E1081" s="2" t="s">
        <v>32</v>
      </c>
      <c r="F1081" s="2" t="s">
        <v>27</v>
      </c>
      <c r="G1081" s="2" t="s">
        <v>33</v>
      </c>
      <c r="H1081" s="2" t="n">
        <v>4</v>
      </c>
      <c r="I1081" s="2" t="str">
        <f aca="false">IF(C1081="","Open","Resolved")</f>
        <v>Resolved</v>
      </c>
      <c r="J1081" s="2" t="str">
        <f aca="false">TEXT(B1081,"yyyy-mm")</f>
        <v>2026-06</v>
      </c>
      <c r="K1081" s="8" t="n">
        <f aca="false">IF(C1081="","",ROUND((C1081-B1081)*24,2))</f>
        <v>18.85</v>
      </c>
      <c r="L1081" s="2" t="n">
        <f aca="false">INDEX('SLA Policy'!$B$2:$B$5,MATCH(E1081,'SLA Policy'!$A$2:$A$5,0))</f>
        <v>72</v>
      </c>
      <c r="M1081" s="2" t="str">
        <f aca="false">IF(K1081="","Open",IF(K1081&lt;=L1081,"Yes","No"))</f>
        <v>Yes</v>
      </c>
    </row>
    <row r="1082" customFormat="false" ht="15" hidden="false" customHeight="false" outlineLevel="0" collapsed="false">
      <c r="A1082" s="2" t="s">
        <v>1116</v>
      </c>
      <c r="B1082" s="7" t="n">
        <v>46183.7701388889</v>
      </c>
      <c r="C1082" s="7" t="n">
        <v>46188.9736111111</v>
      </c>
      <c r="D1082" s="2" t="s">
        <v>22</v>
      </c>
      <c r="E1082" s="2" t="s">
        <v>32</v>
      </c>
      <c r="F1082" s="2" t="s">
        <v>28</v>
      </c>
      <c r="G1082" s="2" t="s">
        <v>25</v>
      </c>
      <c r="H1082" s="2" t="n">
        <v>1</v>
      </c>
      <c r="I1082" s="2" t="str">
        <f aca="false">IF(C1082="","Open","Resolved")</f>
        <v>Resolved</v>
      </c>
      <c r="J1082" s="2" t="str">
        <f aca="false">TEXT(B1082,"yyyy-mm")</f>
        <v>2026-06</v>
      </c>
      <c r="K1082" s="8" t="n">
        <f aca="false">IF(C1082="","",ROUND((C1082-B1082)*24,2))</f>
        <v>124.88</v>
      </c>
      <c r="L1082" s="2" t="n">
        <f aca="false">INDEX('SLA Policy'!$B$2:$B$5,MATCH(E1082,'SLA Policy'!$A$2:$A$5,0))</f>
        <v>72</v>
      </c>
      <c r="M1082" s="2" t="str">
        <f aca="false">IF(K1082="","Open",IF(K1082&lt;=L1082,"Yes","No"))</f>
        <v>No</v>
      </c>
    </row>
    <row r="1083" customFormat="false" ht="15" hidden="false" customHeight="false" outlineLevel="0" collapsed="false">
      <c r="A1083" s="2" t="s">
        <v>1117</v>
      </c>
      <c r="B1083" s="7" t="n">
        <v>46183.7756944444</v>
      </c>
      <c r="C1083" s="7" t="n">
        <v>46184.1736111111</v>
      </c>
      <c r="D1083" s="2" t="s">
        <v>27</v>
      </c>
      <c r="E1083" s="2" t="s">
        <v>35</v>
      </c>
      <c r="F1083" s="2" t="s">
        <v>24</v>
      </c>
      <c r="G1083" s="2" t="s">
        <v>29</v>
      </c>
      <c r="H1083" s="2" t="n">
        <v>5</v>
      </c>
      <c r="I1083" s="2" t="str">
        <f aca="false">IF(C1083="","Open","Resolved")</f>
        <v>Resolved</v>
      </c>
      <c r="J1083" s="2" t="str">
        <f aca="false">TEXT(B1083,"yyyy-mm")</f>
        <v>2026-06</v>
      </c>
      <c r="K1083" s="8" t="n">
        <f aca="false">IF(C1083="","",ROUND((C1083-B1083)*24,2))</f>
        <v>9.55</v>
      </c>
      <c r="L1083" s="2" t="n">
        <f aca="false">INDEX('SLA Policy'!$B$2:$B$5,MATCH(E1083,'SLA Policy'!$A$2:$A$5,0))</f>
        <v>24</v>
      </c>
      <c r="M1083" s="2" t="str">
        <f aca="false">IF(K1083="","Open",IF(K1083&lt;=L1083,"Yes","No"))</f>
        <v>Yes</v>
      </c>
    </row>
    <row r="1084" customFormat="false" ht="15" hidden="false" customHeight="false" outlineLevel="0" collapsed="false">
      <c r="A1084" s="2" t="s">
        <v>1118</v>
      </c>
      <c r="B1084" s="7" t="n">
        <v>46184.3680555556</v>
      </c>
      <c r="C1084" s="7" t="n">
        <v>46184.5125</v>
      </c>
      <c r="D1084" s="2" t="s">
        <v>42</v>
      </c>
      <c r="E1084" s="2" t="s">
        <v>23</v>
      </c>
      <c r="F1084" s="2" t="s">
        <v>24</v>
      </c>
      <c r="G1084" s="2" t="s">
        <v>29</v>
      </c>
      <c r="H1084" s="2" t="n">
        <v>3</v>
      </c>
      <c r="I1084" s="2" t="str">
        <f aca="false">IF(C1084="","Open","Resolved")</f>
        <v>Resolved</v>
      </c>
      <c r="J1084" s="2" t="str">
        <f aca="false">TEXT(B1084,"yyyy-mm")</f>
        <v>2026-06</v>
      </c>
      <c r="K1084" s="8" t="n">
        <f aca="false">IF(C1084="","",ROUND((C1084-B1084)*24,2))</f>
        <v>3.47</v>
      </c>
      <c r="L1084" s="2" t="n">
        <f aca="false">INDEX('SLA Policy'!$B$2:$B$5,MATCH(E1084,'SLA Policy'!$A$2:$A$5,0))</f>
        <v>8</v>
      </c>
      <c r="M1084" s="2" t="str">
        <f aca="false">IF(K1084="","Open",IF(K1084&lt;=L1084,"Yes","No"))</f>
        <v>Yes</v>
      </c>
    </row>
    <row r="1085" customFormat="false" ht="15" hidden="false" customHeight="false" outlineLevel="0" collapsed="false">
      <c r="A1085" s="2" t="s">
        <v>1119</v>
      </c>
      <c r="B1085" s="7" t="n">
        <v>46184.4652777778</v>
      </c>
      <c r="C1085" s="7" t="n">
        <v>46185.0472222222</v>
      </c>
      <c r="D1085" s="2" t="s">
        <v>31</v>
      </c>
      <c r="E1085" s="2" t="s">
        <v>35</v>
      </c>
      <c r="F1085" s="2" t="s">
        <v>27</v>
      </c>
      <c r="G1085" s="2" t="s">
        <v>33</v>
      </c>
      <c r="H1085" s="2" t="n">
        <v>4</v>
      </c>
      <c r="I1085" s="2" t="str">
        <f aca="false">IF(C1085="","Open","Resolved")</f>
        <v>Resolved</v>
      </c>
      <c r="J1085" s="2" t="str">
        <f aca="false">TEXT(B1085,"yyyy-mm")</f>
        <v>2026-06</v>
      </c>
      <c r="K1085" s="8" t="n">
        <f aca="false">IF(C1085="","",ROUND((C1085-B1085)*24,2))</f>
        <v>13.97</v>
      </c>
      <c r="L1085" s="2" t="n">
        <f aca="false">INDEX('SLA Policy'!$B$2:$B$5,MATCH(E1085,'SLA Policy'!$A$2:$A$5,0))</f>
        <v>24</v>
      </c>
      <c r="M1085" s="2" t="str">
        <f aca="false">IF(K1085="","Open",IF(K1085&lt;=L1085,"Yes","No"))</f>
        <v>Yes</v>
      </c>
    </row>
    <row r="1086" customFormat="false" ht="15" hidden="false" customHeight="false" outlineLevel="0" collapsed="false">
      <c r="A1086" s="2" t="s">
        <v>1120</v>
      </c>
      <c r="B1086" s="7" t="n">
        <v>46184.4965277778</v>
      </c>
      <c r="C1086" s="7" t="n">
        <v>46185.2694444444</v>
      </c>
      <c r="D1086" s="2" t="s">
        <v>22</v>
      </c>
      <c r="E1086" s="2" t="s">
        <v>35</v>
      </c>
      <c r="F1086" s="2" t="s">
        <v>24</v>
      </c>
      <c r="G1086" s="2" t="s">
        <v>25</v>
      </c>
      <c r="H1086" s="2" t="n">
        <v>5</v>
      </c>
      <c r="I1086" s="2" t="str">
        <f aca="false">IF(C1086="","Open","Resolved")</f>
        <v>Resolved</v>
      </c>
      <c r="J1086" s="2" t="str">
        <f aca="false">TEXT(B1086,"yyyy-mm")</f>
        <v>2026-06</v>
      </c>
      <c r="K1086" s="8" t="n">
        <f aca="false">IF(C1086="","",ROUND((C1086-B1086)*24,2))</f>
        <v>18.55</v>
      </c>
      <c r="L1086" s="2" t="n">
        <f aca="false">INDEX('SLA Policy'!$B$2:$B$5,MATCH(E1086,'SLA Policy'!$A$2:$A$5,0))</f>
        <v>24</v>
      </c>
      <c r="M1086" s="2" t="str">
        <f aca="false">IF(K1086="","Open",IF(K1086&lt;=L1086,"Yes","No"))</f>
        <v>Yes</v>
      </c>
    </row>
    <row r="1087" customFormat="false" ht="15" hidden="false" customHeight="false" outlineLevel="0" collapsed="false">
      <c r="A1087" s="2" t="s">
        <v>1121</v>
      </c>
      <c r="B1087" s="7" t="n">
        <v>46184.5402777778</v>
      </c>
      <c r="C1087" s="7" t="n">
        <v>46185.1069444444</v>
      </c>
      <c r="D1087" s="2" t="s">
        <v>27</v>
      </c>
      <c r="E1087" s="2" t="s">
        <v>35</v>
      </c>
      <c r="F1087" s="2" t="s">
        <v>27</v>
      </c>
      <c r="G1087" s="2" t="s">
        <v>29</v>
      </c>
      <c r="H1087" s="2" t="n">
        <v>3</v>
      </c>
      <c r="I1087" s="2" t="str">
        <f aca="false">IF(C1087="","Open","Resolved")</f>
        <v>Resolved</v>
      </c>
      <c r="J1087" s="2" t="str">
        <f aca="false">TEXT(B1087,"yyyy-mm")</f>
        <v>2026-06</v>
      </c>
      <c r="K1087" s="8" t="n">
        <f aca="false">IF(C1087="","",ROUND((C1087-B1087)*24,2))</f>
        <v>13.6</v>
      </c>
      <c r="L1087" s="2" t="n">
        <f aca="false">INDEX('SLA Policy'!$B$2:$B$5,MATCH(E1087,'SLA Policy'!$A$2:$A$5,0))</f>
        <v>24</v>
      </c>
      <c r="M1087" s="2" t="str">
        <f aca="false">IF(K1087="","Open",IF(K1087&lt;=L1087,"Yes","No"))</f>
        <v>Yes</v>
      </c>
    </row>
    <row r="1088" customFormat="false" ht="15" hidden="false" customHeight="false" outlineLevel="0" collapsed="false">
      <c r="A1088" s="2" t="s">
        <v>1122</v>
      </c>
      <c r="B1088" s="7" t="n">
        <v>46184.5868055556</v>
      </c>
      <c r="C1088" s="7" t="n">
        <v>46184.9722222222</v>
      </c>
      <c r="D1088" s="2" t="s">
        <v>31</v>
      </c>
      <c r="E1088" s="2" t="s">
        <v>35</v>
      </c>
      <c r="F1088" s="2" t="s">
        <v>38</v>
      </c>
      <c r="G1088" s="2" t="s">
        <v>33</v>
      </c>
      <c r="H1088" s="2" t="n">
        <v>4</v>
      </c>
      <c r="I1088" s="2" t="str">
        <f aca="false">IF(C1088="","Open","Resolved")</f>
        <v>Resolved</v>
      </c>
      <c r="J1088" s="2" t="str">
        <f aca="false">TEXT(B1088,"yyyy-mm")</f>
        <v>2026-06</v>
      </c>
      <c r="K1088" s="8" t="n">
        <f aca="false">IF(C1088="","",ROUND((C1088-B1088)*24,2))</f>
        <v>9.25</v>
      </c>
      <c r="L1088" s="2" t="n">
        <f aca="false">INDEX('SLA Policy'!$B$2:$B$5,MATCH(E1088,'SLA Policy'!$A$2:$A$5,0))</f>
        <v>24</v>
      </c>
      <c r="M1088" s="2" t="str">
        <f aca="false">IF(K1088="","Open",IF(K1088&lt;=L1088,"Yes","No"))</f>
        <v>Yes</v>
      </c>
    </row>
    <row r="1089" customFormat="false" ht="15" hidden="false" customHeight="false" outlineLevel="0" collapsed="false">
      <c r="A1089" s="2" t="s">
        <v>1123</v>
      </c>
      <c r="B1089" s="7" t="n">
        <v>46184.7534722222</v>
      </c>
      <c r="C1089" s="7" t="n">
        <v>46185.5</v>
      </c>
      <c r="D1089" s="2" t="s">
        <v>42</v>
      </c>
      <c r="E1089" s="2" t="s">
        <v>35</v>
      </c>
      <c r="F1089" s="2" t="s">
        <v>24</v>
      </c>
      <c r="G1089" s="2" t="s">
        <v>29</v>
      </c>
      <c r="H1089" s="2" t="n">
        <v>5</v>
      </c>
      <c r="I1089" s="2" t="str">
        <f aca="false">IF(C1089="","Open","Resolved")</f>
        <v>Resolved</v>
      </c>
      <c r="J1089" s="2" t="str">
        <f aca="false">TEXT(B1089,"yyyy-mm")</f>
        <v>2026-06</v>
      </c>
      <c r="K1089" s="8" t="n">
        <f aca="false">IF(C1089="","",ROUND((C1089-B1089)*24,2))</f>
        <v>17.92</v>
      </c>
      <c r="L1089" s="2" t="n">
        <f aca="false">INDEX('SLA Policy'!$B$2:$B$5,MATCH(E1089,'SLA Policy'!$A$2:$A$5,0))</f>
        <v>24</v>
      </c>
      <c r="M1089" s="2" t="str">
        <f aca="false">IF(K1089="","Open",IF(K1089&lt;=L1089,"Yes","No"))</f>
        <v>Yes</v>
      </c>
    </row>
    <row r="1090" customFormat="false" ht="15" hidden="false" customHeight="false" outlineLevel="0" collapsed="false">
      <c r="A1090" s="2" t="s">
        <v>1124</v>
      </c>
      <c r="B1090" s="7" t="n">
        <v>46184.7548611111</v>
      </c>
      <c r="C1090" s="7" t="n">
        <v>46186.93125</v>
      </c>
      <c r="D1090" s="2" t="s">
        <v>48</v>
      </c>
      <c r="E1090" s="2" t="s">
        <v>32</v>
      </c>
      <c r="F1090" s="2" t="s">
        <v>24</v>
      </c>
      <c r="G1090" s="2" t="s">
        <v>25</v>
      </c>
      <c r="H1090" s="2" t="n">
        <v>3</v>
      </c>
      <c r="I1090" s="2" t="str">
        <f aca="false">IF(C1090="","Open","Resolved")</f>
        <v>Resolved</v>
      </c>
      <c r="J1090" s="2" t="str">
        <f aca="false">TEXT(B1090,"yyyy-mm")</f>
        <v>2026-06</v>
      </c>
      <c r="K1090" s="8" t="n">
        <f aca="false">IF(C1090="","",ROUND((C1090-B1090)*24,2))</f>
        <v>52.23</v>
      </c>
      <c r="L1090" s="2" t="n">
        <f aca="false">INDEX('SLA Policy'!$B$2:$B$5,MATCH(E1090,'SLA Policy'!$A$2:$A$5,0))</f>
        <v>72</v>
      </c>
      <c r="M1090" s="2" t="str">
        <f aca="false">IF(K1090="","Open",IF(K1090&lt;=L1090,"Yes","No"))</f>
        <v>Yes</v>
      </c>
    </row>
    <row r="1091" customFormat="false" ht="15" hidden="false" customHeight="false" outlineLevel="0" collapsed="false">
      <c r="A1091" s="2" t="s">
        <v>1125</v>
      </c>
      <c r="B1091" s="7" t="n">
        <v>46184.7638888889</v>
      </c>
      <c r="C1091" s="7" t="n">
        <v>46185.5909722222</v>
      </c>
      <c r="D1091" s="2" t="s">
        <v>31</v>
      </c>
      <c r="E1091" s="2" t="s">
        <v>35</v>
      </c>
      <c r="F1091" s="2" t="s">
        <v>27</v>
      </c>
      <c r="G1091" s="2" t="s">
        <v>33</v>
      </c>
      <c r="H1091" s="2" t="n">
        <v>3</v>
      </c>
      <c r="I1091" s="2" t="str">
        <f aca="false">IF(C1091="","Open","Resolved")</f>
        <v>Resolved</v>
      </c>
      <c r="J1091" s="2" t="str">
        <f aca="false">TEXT(B1091,"yyyy-mm")</f>
        <v>2026-06</v>
      </c>
      <c r="K1091" s="8" t="n">
        <f aca="false">IF(C1091="","",ROUND((C1091-B1091)*24,2))</f>
        <v>19.85</v>
      </c>
      <c r="L1091" s="2" t="n">
        <f aca="false">INDEX('SLA Policy'!$B$2:$B$5,MATCH(E1091,'SLA Policy'!$A$2:$A$5,0))</f>
        <v>24</v>
      </c>
      <c r="M1091" s="2" t="str">
        <f aca="false">IF(K1091="","Open",IF(K1091&lt;=L1091,"Yes","No"))</f>
        <v>Yes</v>
      </c>
    </row>
    <row r="1092" customFormat="false" ht="15" hidden="false" customHeight="false" outlineLevel="0" collapsed="false">
      <c r="A1092" s="2" t="s">
        <v>1126</v>
      </c>
      <c r="B1092" s="7" t="n">
        <v>46185.3819444445</v>
      </c>
      <c r="C1092" s="7" t="n">
        <v>46185.5381944445</v>
      </c>
      <c r="D1092" s="2" t="s">
        <v>42</v>
      </c>
      <c r="E1092" s="2" t="s">
        <v>23</v>
      </c>
      <c r="F1092" s="2" t="s">
        <v>24</v>
      </c>
      <c r="G1092" s="2" t="s">
        <v>29</v>
      </c>
      <c r="H1092" s="2" t="n">
        <v>5</v>
      </c>
      <c r="I1092" s="2" t="str">
        <f aca="false">IF(C1092="","Open","Resolved")</f>
        <v>Resolved</v>
      </c>
      <c r="J1092" s="2" t="str">
        <f aca="false">TEXT(B1092,"yyyy-mm")</f>
        <v>2026-06</v>
      </c>
      <c r="K1092" s="8" t="n">
        <f aca="false">IF(C1092="","",ROUND((C1092-B1092)*24,2))</f>
        <v>3.75</v>
      </c>
      <c r="L1092" s="2" t="n">
        <f aca="false">INDEX('SLA Policy'!$B$2:$B$5,MATCH(E1092,'SLA Policy'!$A$2:$A$5,0))</f>
        <v>8</v>
      </c>
      <c r="M1092" s="2" t="str">
        <f aca="false">IF(K1092="","Open",IF(K1092&lt;=L1092,"Yes","No"))</f>
        <v>Yes</v>
      </c>
    </row>
    <row r="1093" customFormat="false" ht="15" hidden="false" customHeight="false" outlineLevel="0" collapsed="false">
      <c r="A1093" s="2" t="s">
        <v>1127</v>
      </c>
      <c r="B1093" s="7" t="n">
        <v>46185.4875</v>
      </c>
      <c r="C1093" s="7" t="n">
        <v>46186.6569444445</v>
      </c>
      <c r="D1093" s="2" t="s">
        <v>48</v>
      </c>
      <c r="E1093" s="2" t="s">
        <v>35</v>
      </c>
      <c r="F1093" s="2" t="s">
        <v>38</v>
      </c>
      <c r="G1093" s="2" t="s">
        <v>25</v>
      </c>
      <c r="H1093" s="2" t="n">
        <v>3</v>
      </c>
      <c r="I1093" s="2" t="str">
        <f aca="false">IF(C1093="","Open","Resolved")</f>
        <v>Resolved</v>
      </c>
      <c r="J1093" s="2" t="str">
        <f aca="false">TEXT(B1093,"yyyy-mm")</f>
        <v>2026-06</v>
      </c>
      <c r="K1093" s="8" t="n">
        <f aca="false">IF(C1093="","",ROUND((C1093-B1093)*24,2))</f>
        <v>28.07</v>
      </c>
      <c r="L1093" s="2" t="n">
        <f aca="false">INDEX('SLA Policy'!$B$2:$B$5,MATCH(E1093,'SLA Policy'!$A$2:$A$5,0))</f>
        <v>24</v>
      </c>
      <c r="M1093" s="2" t="str">
        <f aca="false">IF(K1093="","Open",IF(K1093&lt;=L1093,"Yes","No"))</f>
        <v>No</v>
      </c>
    </row>
    <row r="1094" customFormat="false" ht="15" hidden="false" customHeight="false" outlineLevel="0" collapsed="false">
      <c r="A1094" s="2" t="s">
        <v>1128</v>
      </c>
      <c r="B1094" s="7" t="n">
        <v>46185.5125</v>
      </c>
      <c r="C1094" s="7" t="n">
        <v>46186.1986111111</v>
      </c>
      <c r="D1094" s="2" t="s">
        <v>42</v>
      </c>
      <c r="E1094" s="2" t="s">
        <v>35</v>
      </c>
      <c r="F1094" s="2" t="s">
        <v>38</v>
      </c>
      <c r="G1094" s="2" t="s">
        <v>29</v>
      </c>
      <c r="H1094" s="2" t="n">
        <v>4</v>
      </c>
      <c r="I1094" s="2" t="str">
        <f aca="false">IF(C1094="","Open","Resolved")</f>
        <v>Resolved</v>
      </c>
      <c r="J1094" s="2" t="str">
        <f aca="false">TEXT(B1094,"yyyy-mm")</f>
        <v>2026-06</v>
      </c>
      <c r="K1094" s="8" t="n">
        <f aca="false">IF(C1094="","",ROUND((C1094-B1094)*24,2))</f>
        <v>16.47</v>
      </c>
      <c r="L1094" s="2" t="n">
        <f aca="false">INDEX('SLA Policy'!$B$2:$B$5,MATCH(E1094,'SLA Policy'!$A$2:$A$5,0))</f>
        <v>24</v>
      </c>
      <c r="M1094" s="2" t="str">
        <f aca="false">IF(K1094="","Open",IF(K1094&lt;=L1094,"Yes","No"))</f>
        <v>Yes</v>
      </c>
    </row>
    <row r="1095" customFormat="false" ht="15" hidden="false" customHeight="false" outlineLevel="0" collapsed="false">
      <c r="A1095" s="2" t="s">
        <v>1129</v>
      </c>
      <c r="B1095" s="7" t="n">
        <v>46185.63125</v>
      </c>
      <c r="C1095" s="7" t="n">
        <v>46187.2006944444</v>
      </c>
      <c r="D1095" s="2" t="s">
        <v>22</v>
      </c>
      <c r="E1095" s="2" t="s">
        <v>35</v>
      </c>
      <c r="F1095" s="2" t="s">
        <v>24</v>
      </c>
      <c r="G1095" s="2" t="s">
        <v>25</v>
      </c>
      <c r="H1095" s="2" t="n">
        <v>3</v>
      </c>
      <c r="I1095" s="2" t="str">
        <f aca="false">IF(C1095="","Open","Resolved")</f>
        <v>Resolved</v>
      </c>
      <c r="J1095" s="2" t="str">
        <f aca="false">TEXT(B1095,"yyyy-mm")</f>
        <v>2026-06</v>
      </c>
      <c r="K1095" s="8" t="n">
        <f aca="false">IF(C1095="","",ROUND((C1095-B1095)*24,2))</f>
        <v>37.67</v>
      </c>
      <c r="L1095" s="2" t="n">
        <f aca="false">INDEX('SLA Policy'!$B$2:$B$5,MATCH(E1095,'SLA Policy'!$A$2:$A$5,0))</f>
        <v>24</v>
      </c>
      <c r="M1095" s="2" t="str">
        <f aca="false">IF(K1095="","Open",IF(K1095&lt;=L1095,"Yes","No"))</f>
        <v>No</v>
      </c>
    </row>
    <row r="1096" customFormat="false" ht="15" hidden="false" customHeight="false" outlineLevel="0" collapsed="false">
      <c r="A1096" s="2" t="s">
        <v>1130</v>
      </c>
      <c r="B1096" s="7" t="n">
        <v>46185.6534722222</v>
      </c>
      <c r="C1096" s="7" t="n">
        <v>46185.9645833333</v>
      </c>
      <c r="D1096" s="2" t="s">
        <v>27</v>
      </c>
      <c r="E1096" s="2" t="s">
        <v>23</v>
      </c>
      <c r="F1096" s="2" t="s">
        <v>24</v>
      </c>
      <c r="G1096" s="2" t="s">
        <v>29</v>
      </c>
      <c r="H1096" s="2" t="n">
        <v>5</v>
      </c>
      <c r="I1096" s="2" t="str">
        <f aca="false">IF(C1096="","Open","Resolved")</f>
        <v>Resolved</v>
      </c>
      <c r="J1096" s="2" t="str">
        <f aca="false">TEXT(B1096,"yyyy-mm")</f>
        <v>2026-06</v>
      </c>
      <c r="K1096" s="8" t="n">
        <f aca="false">IF(C1096="","",ROUND((C1096-B1096)*24,2))</f>
        <v>7.47</v>
      </c>
      <c r="L1096" s="2" t="n">
        <f aca="false">INDEX('SLA Policy'!$B$2:$B$5,MATCH(E1096,'SLA Policy'!$A$2:$A$5,0))</f>
        <v>8</v>
      </c>
      <c r="M1096" s="2" t="str">
        <f aca="false">IF(K1096="","Open",IF(K1096&lt;=L1096,"Yes","No"))</f>
        <v>Yes</v>
      </c>
    </row>
    <row r="1097" customFormat="false" ht="15" hidden="false" customHeight="false" outlineLevel="0" collapsed="false">
      <c r="A1097" s="2" t="s">
        <v>1131</v>
      </c>
      <c r="B1097" s="7" t="n">
        <v>46185.6715277778</v>
      </c>
      <c r="C1097" s="7" t="n">
        <v>46188.0180555556</v>
      </c>
      <c r="D1097" s="2" t="s">
        <v>27</v>
      </c>
      <c r="E1097" s="2" t="s">
        <v>35</v>
      </c>
      <c r="F1097" s="2" t="s">
        <v>28</v>
      </c>
      <c r="G1097" s="2" t="s">
        <v>29</v>
      </c>
      <c r="H1097" s="2" t="n">
        <v>3</v>
      </c>
      <c r="I1097" s="2" t="str">
        <f aca="false">IF(C1097="","Open","Resolved")</f>
        <v>Resolved</v>
      </c>
      <c r="J1097" s="2" t="str">
        <f aca="false">TEXT(B1097,"yyyy-mm")</f>
        <v>2026-06</v>
      </c>
      <c r="K1097" s="8" t="n">
        <f aca="false">IF(C1097="","",ROUND((C1097-B1097)*24,2))</f>
        <v>56.32</v>
      </c>
      <c r="L1097" s="2" t="n">
        <f aca="false">INDEX('SLA Policy'!$B$2:$B$5,MATCH(E1097,'SLA Policy'!$A$2:$A$5,0))</f>
        <v>24</v>
      </c>
      <c r="M1097" s="2" t="str">
        <f aca="false">IF(K1097="","Open",IF(K1097&lt;=L1097,"Yes","No"))</f>
        <v>No</v>
      </c>
    </row>
    <row r="1098" customFormat="false" ht="15" hidden="false" customHeight="false" outlineLevel="0" collapsed="false">
      <c r="A1098" s="2" t="s">
        <v>1132</v>
      </c>
      <c r="B1098" s="7" t="n">
        <v>46185.7465277778</v>
      </c>
      <c r="C1098" s="7" t="n">
        <v>46189.1423611111</v>
      </c>
      <c r="D1098" s="2" t="s">
        <v>31</v>
      </c>
      <c r="E1098" s="2" t="s">
        <v>32</v>
      </c>
      <c r="F1098" s="2" t="s">
        <v>38</v>
      </c>
      <c r="G1098" s="2" t="s">
        <v>33</v>
      </c>
      <c r="H1098" s="2" t="n">
        <v>1</v>
      </c>
      <c r="I1098" s="2" t="str">
        <f aca="false">IF(C1098="","Open","Resolved")</f>
        <v>Resolved</v>
      </c>
      <c r="J1098" s="2" t="str">
        <f aca="false">TEXT(B1098,"yyyy-mm")</f>
        <v>2026-06</v>
      </c>
      <c r="K1098" s="8" t="n">
        <f aca="false">IF(C1098="","",ROUND((C1098-B1098)*24,2))</f>
        <v>81.5</v>
      </c>
      <c r="L1098" s="2" t="n">
        <f aca="false">INDEX('SLA Policy'!$B$2:$B$5,MATCH(E1098,'SLA Policy'!$A$2:$A$5,0))</f>
        <v>72</v>
      </c>
      <c r="M1098" s="2" t="str">
        <f aca="false">IF(K1098="","Open",IF(K1098&lt;=L1098,"Yes","No"))</f>
        <v>No</v>
      </c>
    </row>
    <row r="1099" customFormat="false" ht="15" hidden="false" customHeight="false" outlineLevel="0" collapsed="false">
      <c r="A1099" s="2" t="s">
        <v>1133</v>
      </c>
      <c r="B1099" s="7" t="n">
        <v>46186.3361111111</v>
      </c>
      <c r="C1099" s="7" t="n">
        <v>46186.7951388889</v>
      </c>
      <c r="D1099" s="2" t="s">
        <v>31</v>
      </c>
      <c r="E1099" s="2" t="s">
        <v>23</v>
      </c>
      <c r="F1099" s="2" t="s">
        <v>38</v>
      </c>
      <c r="G1099" s="2" t="s">
        <v>33</v>
      </c>
      <c r="H1099" s="2" t="n">
        <v>5</v>
      </c>
      <c r="I1099" s="2" t="str">
        <f aca="false">IF(C1099="","Open","Resolved")</f>
        <v>Resolved</v>
      </c>
      <c r="J1099" s="2" t="str">
        <f aca="false">TEXT(B1099,"yyyy-mm")</f>
        <v>2026-06</v>
      </c>
      <c r="K1099" s="8" t="n">
        <f aca="false">IF(C1099="","",ROUND((C1099-B1099)*24,2))</f>
        <v>11.02</v>
      </c>
      <c r="L1099" s="2" t="n">
        <f aca="false">INDEX('SLA Policy'!$B$2:$B$5,MATCH(E1099,'SLA Policy'!$A$2:$A$5,0))</f>
        <v>8</v>
      </c>
      <c r="M1099" s="2" t="str">
        <f aca="false">IF(K1099="","Open",IF(K1099&lt;=L1099,"Yes","No"))</f>
        <v>No</v>
      </c>
    </row>
    <row r="1100" customFormat="false" ht="15" hidden="false" customHeight="false" outlineLevel="0" collapsed="false">
      <c r="A1100" s="2" t="s">
        <v>1134</v>
      </c>
      <c r="B1100" s="7" t="n">
        <v>46187.4791666667</v>
      </c>
      <c r="C1100" s="7" t="n">
        <v>46187.6583333333</v>
      </c>
      <c r="D1100" s="2" t="s">
        <v>42</v>
      </c>
      <c r="E1100" s="2" t="s">
        <v>23</v>
      </c>
      <c r="F1100" s="2" t="s">
        <v>24</v>
      </c>
      <c r="G1100" s="2" t="s">
        <v>29</v>
      </c>
      <c r="H1100" s="2" t="n">
        <v>4</v>
      </c>
      <c r="I1100" s="2" t="str">
        <f aca="false">IF(C1100="","Open","Resolved")</f>
        <v>Resolved</v>
      </c>
      <c r="J1100" s="2" t="str">
        <f aca="false">TEXT(B1100,"yyyy-mm")</f>
        <v>2026-06</v>
      </c>
      <c r="K1100" s="8" t="n">
        <f aca="false">IF(C1100="","",ROUND((C1100-B1100)*24,2))</f>
        <v>4.3</v>
      </c>
      <c r="L1100" s="2" t="n">
        <f aca="false">INDEX('SLA Policy'!$B$2:$B$5,MATCH(E1100,'SLA Policy'!$A$2:$A$5,0))</f>
        <v>8</v>
      </c>
      <c r="M1100" s="2" t="str">
        <f aca="false">IF(K1100="","Open",IF(K1100&lt;=L1100,"Yes","No"))</f>
        <v>Yes</v>
      </c>
    </row>
    <row r="1101" customFormat="false" ht="15" hidden="false" customHeight="false" outlineLevel="0" collapsed="false">
      <c r="A1101" s="2" t="s">
        <v>1135</v>
      </c>
      <c r="B1101" s="7" t="n">
        <v>46187.5784722222</v>
      </c>
      <c r="C1101" s="7" t="n">
        <v>46191.5520833333</v>
      </c>
      <c r="D1101" s="2" t="s">
        <v>22</v>
      </c>
      <c r="E1101" s="2" t="s">
        <v>35</v>
      </c>
      <c r="F1101" s="2" t="s">
        <v>28</v>
      </c>
      <c r="G1101" s="2" t="s">
        <v>25</v>
      </c>
      <c r="H1101" s="2" t="n">
        <v>1</v>
      </c>
      <c r="I1101" s="2" t="str">
        <f aca="false">IF(C1101="","Open","Resolved")</f>
        <v>Resolved</v>
      </c>
      <c r="J1101" s="2" t="str">
        <f aca="false">TEXT(B1101,"yyyy-mm")</f>
        <v>2026-06</v>
      </c>
      <c r="K1101" s="8" t="n">
        <f aca="false">IF(C1101="","",ROUND((C1101-B1101)*24,2))</f>
        <v>95.37</v>
      </c>
      <c r="L1101" s="2" t="n">
        <f aca="false">INDEX('SLA Policy'!$B$2:$B$5,MATCH(E1101,'SLA Policy'!$A$2:$A$5,0))</f>
        <v>24</v>
      </c>
      <c r="M1101" s="2" t="str">
        <f aca="false">IF(K1101="","Open",IF(K1101&lt;=L1101,"Yes","No"))</f>
        <v>No</v>
      </c>
    </row>
    <row r="1102" customFormat="false" ht="15" hidden="false" customHeight="false" outlineLevel="0" collapsed="false">
      <c r="A1102" s="2" t="s">
        <v>1136</v>
      </c>
      <c r="B1102" s="7" t="n">
        <v>46187.6222222222</v>
      </c>
      <c r="C1102" s="7" t="n">
        <v>46189.13125</v>
      </c>
      <c r="D1102" s="2" t="s">
        <v>48</v>
      </c>
      <c r="E1102" s="2" t="s">
        <v>35</v>
      </c>
      <c r="F1102" s="2" t="s">
        <v>27</v>
      </c>
      <c r="G1102" s="2" t="s">
        <v>25</v>
      </c>
      <c r="H1102" s="2" t="n">
        <v>3</v>
      </c>
      <c r="I1102" s="2" t="str">
        <f aca="false">IF(C1102="","Open","Resolved")</f>
        <v>Resolved</v>
      </c>
      <c r="J1102" s="2" t="str">
        <f aca="false">TEXT(B1102,"yyyy-mm")</f>
        <v>2026-06</v>
      </c>
      <c r="K1102" s="8" t="n">
        <f aca="false">IF(C1102="","",ROUND((C1102-B1102)*24,2))</f>
        <v>36.22</v>
      </c>
      <c r="L1102" s="2" t="n">
        <f aca="false">INDEX('SLA Policy'!$B$2:$B$5,MATCH(E1102,'SLA Policy'!$A$2:$A$5,0))</f>
        <v>24</v>
      </c>
      <c r="M1102" s="2" t="str">
        <f aca="false">IF(K1102="","Open",IF(K1102&lt;=L1102,"Yes","No"))</f>
        <v>No</v>
      </c>
    </row>
    <row r="1103" customFormat="false" ht="15" hidden="false" customHeight="false" outlineLevel="0" collapsed="false">
      <c r="A1103" s="2" t="s">
        <v>1137</v>
      </c>
      <c r="B1103" s="7" t="n">
        <v>46188.3569444444</v>
      </c>
      <c r="C1103" s="7" t="n">
        <v>46192.88125</v>
      </c>
      <c r="D1103" s="2" t="s">
        <v>48</v>
      </c>
      <c r="E1103" s="2" t="s">
        <v>32</v>
      </c>
      <c r="F1103" s="2" t="s">
        <v>27</v>
      </c>
      <c r="G1103" s="2" t="s">
        <v>25</v>
      </c>
      <c r="H1103" s="2" t="n">
        <v>1</v>
      </c>
      <c r="I1103" s="2" t="str">
        <f aca="false">IF(C1103="","Open","Resolved")</f>
        <v>Resolved</v>
      </c>
      <c r="J1103" s="2" t="str">
        <f aca="false">TEXT(B1103,"yyyy-mm")</f>
        <v>2026-06</v>
      </c>
      <c r="K1103" s="8" t="n">
        <f aca="false">IF(C1103="","",ROUND((C1103-B1103)*24,2))</f>
        <v>108.58</v>
      </c>
      <c r="L1103" s="2" t="n">
        <f aca="false">INDEX('SLA Policy'!$B$2:$B$5,MATCH(E1103,'SLA Policy'!$A$2:$A$5,0))</f>
        <v>72</v>
      </c>
      <c r="M1103" s="2" t="str">
        <f aca="false">IF(K1103="","Open",IF(K1103&lt;=L1103,"Yes","No"))</f>
        <v>No</v>
      </c>
    </row>
    <row r="1104" customFormat="false" ht="15" hidden="false" customHeight="false" outlineLevel="0" collapsed="false">
      <c r="A1104" s="2" t="s">
        <v>1138</v>
      </c>
      <c r="B1104" s="7" t="n">
        <v>46188.3791666667</v>
      </c>
      <c r="C1104" s="7" t="n">
        <v>46188.76875</v>
      </c>
      <c r="D1104" s="2" t="s">
        <v>31</v>
      </c>
      <c r="E1104" s="2" t="s">
        <v>35</v>
      </c>
      <c r="F1104" s="2" t="s">
        <v>38</v>
      </c>
      <c r="G1104" s="2" t="s">
        <v>33</v>
      </c>
      <c r="H1104" s="2" t="n">
        <v>4</v>
      </c>
      <c r="I1104" s="2" t="str">
        <f aca="false">IF(C1104="","Open","Resolved")</f>
        <v>Resolved</v>
      </c>
      <c r="J1104" s="2" t="str">
        <f aca="false">TEXT(B1104,"yyyy-mm")</f>
        <v>2026-06</v>
      </c>
      <c r="K1104" s="8" t="n">
        <f aca="false">IF(C1104="","",ROUND((C1104-B1104)*24,2))</f>
        <v>9.35</v>
      </c>
      <c r="L1104" s="2" t="n">
        <f aca="false">INDEX('SLA Policy'!$B$2:$B$5,MATCH(E1104,'SLA Policy'!$A$2:$A$5,0))</f>
        <v>24</v>
      </c>
      <c r="M1104" s="2" t="str">
        <f aca="false">IF(K1104="","Open",IF(K1104&lt;=L1104,"Yes","No"))</f>
        <v>Yes</v>
      </c>
    </row>
    <row r="1105" customFormat="false" ht="15" hidden="false" customHeight="false" outlineLevel="0" collapsed="false">
      <c r="A1105" s="2" t="s">
        <v>1139</v>
      </c>
      <c r="B1105" s="7" t="n">
        <v>46188.4</v>
      </c>
      <c r="C1105" s="7" t="n">
        <v>46189.2270833333</v>
      </c>
      <c r="D1105" s="2" t="s">
        <v>42</v>
      </c>
      <c r="E1105" s="2" t="s">
        <v>32</v>
      </c>
      <c r="F1105" s="2" t="s">
        <v>24</v>
      </c>
      <c r="G1105" s="2" t="s">
        <v>29</v>
      </c>
      <c r="H1105" s="2" t="n">
        <v>4</v>
      </c>
      <c r="I1105" s="2" t="str">
        <f aca="false">IF(C1105="","Open","Resolved")</f>
        <v>Resolved</v>
      </c>
      <c r="J1105" s="2" t="str">
        <f aca="false">TEXT(B1105,"yyyy-mm")</f>
        <v>2026-06</v>
      </c>
      <c r="K1105" s="8" t="n">
        <f aca="false">IF(C1105="","",ROUND((C1105-B1105)*24,2))</f>
        <v>19.85</v>
      </c>
      <c r="L1105" s="2" t="n">
        <f aca="false">INDEX('SLA Policy'!$B$2:$B$5,MATCH(E1105,'SLA Policy'!$A$2:$A$5,0))</f>
        <v>72</v>
      </c>
      <c r="M1105" s="2" t="str">
        <f aca="false">IF(K1105="","Open",IF(K1105&lt;=L1105,"Yes","No"))</f>
        <v>Yes</v>
      </c>
    </row>
    <row r="1106" customFormat="false" ht="15" hidden="false" customHeight="false" outlineLevel="0" collapsed="false">
      <c r="A1106" s="2" t="s">
        <v>1140</v>
      </c>
      <c r="B1106" s="7" t="n">
        <v>46188.4006944444</v>
      </c>
      <c r="C1106" s="7" t="n">
        <v>46196.0006944445</v>
      </c>
      <c r="D1106" s="2" t="s">
        <v>48</v>
      </c>
      <c r="E1106" s="2" t="s">
        <v>32</v>
      </c>
      <c r="F1106" s="2" t="s">
        <v>38</v>
      </c>
      <c r="G1106" s="2" t="s">
        <v>25</v>
      </c>
      <c r="H1106" s="2" t="n">
        <v>1</v>
      </c>
      <c r="I1106" s="2" t="str">
        <f aca="false">IF(C1106="","Open","Resolved")</f>
        <v>Resolved</v>
      </c>
      <c r="J1106" s="2" t="str">
        <f aca="false">TEXT(B1106,"yyyy-mm")</f>
        <v>2026-06</v>
      </c>
      <c r="K1106" s="8" t="n">
        <f aca="false">IF(C1106="","",ROUND((C1106-B1106)*24,2))</f>
        <v>182.4</v>
      </c>
      <c r="L1106" s="2" t="n">
        <f aca="false">INDEX('SLA Policy'!$B$2:$B$5,MATCH(E1106,'SLA Policy'!$A$2:$A$5,0))</f>
        <v>72</v>
      </c>
      <c r="M1106" s="2" t="str">
        <f aca="false">IF(K1106="","Open",IF(K1106&lt;=L1106,"Yes","No"))</f>
        <v>No</v>
      </c>
    </row>
    <row r="1107" customFormat="false" ht="15" hidden="false" customHeight="false" outlineLevel="0" collapsed="false">
      <c r="A1107" s="2" t="s">
        <v>1141</v>
      </c>
      <c r="B1107" s="7" t="n">
        <v>46188.4680555556</v>
      </c>
      <c r="C1107" s="7" t="n">
        <v>46191.9715277778</v>
      </c>
      <c r="D1107" s="2" t="s">
        <v>48</v>
      </c>
      <c r="E1107" s="2" t="s">
        <v>32</v>
      </c>
      <c r="F1107" s="2" t="s">
        <v>24</v>
      </c>
      <c r="G1107" s="2" t="s">
        <v>25</v>
      </c>
      <c r="H1107" s="2" t="n">
        <v>2</v>
      </c>
      <c r="I1107" s="2" t="str">
        <f aca="false">IF(C1107="","Open","Resolved")</f>
        <v>Resolved</v>
      </c>
      <c r="J1107" s="2" t="str">
        <f aca="false">TEXT(B1107,"yyyy-mm")</f>
        <v>2026-06</v>
      </c>
      <c r="K1107" s="8" t="n">
        <f aca="false">IF(C1107="","",ROUND((C1107-B1107)*24,2))</f>
        <v>84.08</v>
      </c>
      <c r="L1107" s="2" t="n">
        <f aca="false">INDEX('SLA Policy'!$B$2:$B$5,MATCH(E1107,'SLA Policy'!$A$2:$A$5,0))</f>
        <v>72</v>
      </c>
      <c r="M1107" s="2" t="str">
        <f aca="false">IF(K1107="","Open",IF(K1107&lt;=L1107,"Yes","No"))</f>
        <v>No</v>
      </c>
    </row>
    <row r="1108" customFormat="false" ht="15" hidden="false" customHeight="false" outlineLevel="0" collapsed="false">
      <c r="A1108" s="2" t="s">
        <v>1142</v>
      </c>
      <c r="B1108" s="7" t="n">
        <v>46188.5347222222</v>
      </c>
      <c r="C1108" s="7" t="n">
        <v>46189.1729166667</v>
      </c>
      <c r="D1108" s="2" t="s">
        <v>48</v>
      </c>
      <c r="E1108" s="2" t="s">
        <v>23</v>
      </c>
      <c r="F1108" s="2" t="s">
        <v>27</v>
      </c>
      <c r="G1108" s="2" t="s">
        <v>25</v>
      </c>
      <c r="H1108" s="2" t="n">
        <v>5</v>
      </c>
      <c r="I1108" s="2" t="str">
        <f aca="false">IF(C1108="","Open","Resolved")</f>
        <v>Resolved</v>
      </c>
      <c r="J1108" s="2" t="str">
        <f aca="false">TEXT(B1108,"yyyy-mm")</f>
        <v>2026-06</v>
      </c>
      <c r="K1108" s="8" t="n">
        <f aca="false">IF(C1108="","",ROUND((C1108-B1108)*24,2))</f>
        <v>15.32</v>
      </c>
      <c r="L1108" s="2" t="n">
        <f aca="false">INDEX('SLA Policy'!$B$2:$B$5,MATCH(E1108,'SLA Policy'!$A$2:$A$5,0))</f>
        <v>8</v>
      </c>
      <c r="M1108" s="2" t="str">
        <f aca="false">IF(K1108="","Open",IF(K1108&lt;=L1108,"Yes","No"))</f>
        <v>No</v>
      </c>
    </row>
    <row r="1109" customFormat="false" ht="15" hidden="false" customHeight="false" outlineLevel="0" collapsed="false">
      <c r="A1109" s="2" t="s">
        <v>1143</v>
      </c>
      <c r="B1109" s="7" t="n">
        <v>46188.6270833333</v>
      </c>
      <c r="C1109" s="7" t="n">
        <v>46188.8916666667</v>
      </c>
      <c r="D1109" s="2" t="s">
        <v>22</v>
      </c>
      <c r="E1109" s="2" t="s">
        <v>23</v>
      </c>
      <c r="F1109" s="2" t="s">
        <v>38</v>
      </c>
      <c r="G1109" s="2" t="s">
        <v>25</v>
      </c>
      <c r="H1109" s="2" t="n">
        <v>5</v>
      </c>
      <c r="I1109" s="2" t="str">
        <f aca="false">IF(C1109="","Open","Resolved")</f>
        <v>Resolved</v>
      </c>
      <c r="J1109" s="2" t="str">
        <f aca="false">TEXT(B1109,"yyyy-mm")</f>
        <v>2026-06</v>
      </c>
      <c r="K1109" s="8" t="n">
        <f aca="false">IF(C1109="","",ROUND((C1109-B1109)*24,2))</f>
        <v>6.35</v>
      </c>
      <c r="L1109" s="2" t="n">
        <f aca="false">INDEX('SLA Policy'!$B$2:$B$5,MATCH(E1109,'SLA Policy'!$A$2:$A$5,0))</f>
        <v>8</v>
      </c>
      <c r="M1109" s="2" t="str">
        <f aca="false">IF(K1109="","Open",IF(K1109&lt;=L1109,"Yes","No"))</f>
        <v>Yes</v>
      </c>
    </row>
    <row r="1110" customFormat="false" ht="15" hidden="false" customHeight="false" outlineLevel="0" collapsed="false">
      <c r="A1110" s="2" t="s">
        <v>1144</v>
      </c>
      <c r="B1110" s="7" t="n">
        <v>46188.7159722222</v>
      </c>
      <c r="C1110" s="7" t="n">
        <v>46195.2388888889</v>
      </c>
      <c r="D1110" s="2" t="s">
        <v>22</v>
      </c>
      <c r="E1110" s="2" t="s">
        <v>32</v>
      </c>
      <c r="F1110" s="2" t="s">
        <v>24</v>
      </c>
      <c r="G1110" s="2" t="s">
        <v>25</v>
      </c>
      <c r="H1110" s="2" t="n">
        <v>1</v>
      </c>
      <c r="I1110" s="2" t="str">
        <f aca="false">IF(C1110="","Open","Resolved")</f>
        <v>Resolved</v>
      </c>
      <c r="J1110" s="2" t="str">
        <f aca="false">TEXT(B1110,"yyyy-mm")</f>
        <v>2026-06</v>
      </c>
      <c r="K1110" s="8" t="n">
        <f aca="false">IF(C1110="","",ROUND((C1110-B1110)*24,2))</f>
        <v>156.55</v>
      </c>
      <c r="L1110" s="2" t="n">
        <f aca="false">INDEX('SLA Policy'!$B$2:$B$5,MATCH(E1110,'SLA Policy'!$A$2:$A$5,0))</f>
        <v>72</v>
      </c>
      <c r="M1110" s="2" t="str">
        <f aca="false">IF(K1110="","Open",IF(K1110&lt;=L1110,"Yes","No"))</f>
        <v>No</v>
      </c>
    </row>
    <row r="1111" customFormat="false" ht="15" hidden="false" customHeight="false" outlineLevel="0" collapsed="false">
      <c r="A1111" s="2" t="s">
        <v>1145</v>
      </c>
      <c r="B1111" s="7" t="n">
        <v>46189.3194444445</v>
      </c>
      <c r="C1111" s="7" t="n">
        <v>46189.7847222222</v>
      </c>
      <c r="D1111" s="2" t="s">
        <v>27</v>
      </c>
      <c r="E1111" s="2" t="s">
        <v>35</v>
      </c>
      <c r="F1111" s="2" t="s">
        <v>24</v>
      </c>
      <c r="G1111" s="2" t="s">
        <v>29</v>
      </c>
      <c r="H1111" s="2" t="n">
        <v>4</v>
      </c>
      <c r="I1111" s="2" t="str">
        <f aca="false">IF(C1111="","Open","Resolved")</f>
        <v>Resolved</v>
      </c>
      <c r="J1111" s="2" t="str">
        <f aca="false">TEXT(B1111,"yyyy-mm")</f>
        <v>2026-06</v>
      </c>
      <c r="K1111" s="8" t="n">
        <f aca="false">IF(C1111="","",ROUND((C1111-B1111)*24,2))</f>
        <v>11.17</v>
      </c>
      <c r="L1111" s="2" t="n">
        <f aca="false">INDEX('SLA Policy'!$B$2:$B$5,MATCH(E1111,'SLA Policy'!$A$2:$A$5,0))</f>
        <v>24</v>
      </c>
      <c r="M1111" s="2" t="str">
        <f aca="false">IF(K1111="","Open",IF(K1111&lt;=L1111,"Yes","No"))</f>
        <v>Yes</v>
      </c>
    </row>
    <row r="1112" customFormat="false" ht="15" hidden="false" customHeight="false" outlineLevel="0" collapsed="false">
      <c r="A1112" s="2" t="s">
        <v>1146</v>
      </c>
      <c r="B1112" s="7" t="n">
        <v>46189.4840277778</v>
      </c>
      <c r="C1112" s="7" t="n">
        <v>46191.2083333333</v>
      </c>
      <c r="D1112" s="2" t="s">
        <v>42</v>
      </c>
      <c r="E1112" s="2" t="s">
        <v>32</v>
      </c>
      <c r="F1112" s="2" t="s">
        <v>24</v>
      </c>
      <c r="G1112" s="2" t="s">
        <v>29</v>
      </c>
      <c r="H1112" s="2" t="n">
        <v>2</v>
      </c>
      <c r="I1112" s="2" t="str">
        <f aca="false">IF(C1112="","Open","Resolved")</f>
        <v>Resolved</v>
      </c>
      <c r="J1112" s="2" t="str">
        <f aca="false">TEXT(B1112,"yyyy-mm")</f>
        <v>2026-06</v>
      </c>
      <c r="K1112" s="8" t="n">
        <f aca="false">IF(C1112="","",ROUND((C1112-B1112)*24,2))</f>
        <v>41.38</v>
      </c>
      <c r="L1112" s="2" t="n">
        <f aca="false">INDEX('SLA Policy'!$B$2:$B$5,MATCH(E1112,'SLA Policy'!$A$2:$A$5,0))</f>
        <v>72</v>
      </c>
      <c r="M1112" s="2" t="str">
        <f aca="false">IF(K1112="","Open",IF(K1112&lt;=L1112,"Yes","No"))</f>
        <v>Yes</v>
      </c>
    </row>
    <row r="1113" customFormat="false" ht="15" hidden="false" customHeight="false" outlineLevel="0" collapsed="false">
      <c r="A1113" s="2" t="s">
        <v>1147</v>
      </c>
      <c r="B1113" s="7" t="n">
        <v>46189.5173611111</v>
      </c>
      <c r="C1113" s="7" t="n">
        <v>46189.8263888889</v>
      </c>
      <c r="D1113" s="2" t="s">
        <v>42</v>
      </c>
      <c r="E1113" s="2" t="s">
        <v>35</v>
      </c>
      <c r="F1113" s="2" t="s">
        <v>27</v>
      </c>
      <c r="G1113" s="2" t="s">
        <v>29</v>
      </c>
      <c r="H1113" s="2" t="n">
        <v>5</v>
      </c>
      <c r="I1113" s="2" t="str">
        <f aca="false">IF(C1113="","Open","Resolved")</f>
        <v>Resolved</v>
      </c>
      <c r="J1113" s="2" t="str">
        <f aca="false">TEXT(B1113,"yyyy-mm")</f>
        <v>2026-06</v>
      </c>
      <c r="K1113" s="8" t="n">
        <f aca="false">IF(C1113="","",ROUND((C1113-B1113)*24,2))</f>
        <v>7.42</v>
      </c>
      <c r="L1113" s="2" t="n">
        <f aca="false">INDEX('SLA Policy'!$B$2:$B$5,MATCH(E1113,'SLA Policy'!$A$2:$A$5,0))</f>
        <v>24</v>
      </c>
      <c r="M1113" s="2" t="str">
        <f aca="false">IF(K1113="","Open",IF(K1113&lt;=L1113,"Yes","No"))</f>
        <v>Yes</v>
      </c>
    </row>
    <row r="1114" customFormat="false" ht="15" hidden="false" customHeight="false" outlineLevel="0" collapsed="false">
      <c r="A1114" s="2" t="s">
        <v>1148</v>
      </c>
      <c r="B1114" s="7" t="n">
        <v>46189.5791666667</v>
      </c>
      <c r="C1114" s="7" t="n">
        <v>46190.9375</v>
      </c>
      <c r="D1114" s="2" t="s">
        <v>31</v>
      </c>
      <c r="E1114" s="2" t="s">
        <v>35</v>
      </c>
      <c r="F1114" s="2" t="s">
        <v>27</v>
      </c>
      <c r="G1114" s="2" t="s">
        <v>33</v>
      </c>
      <c r="H1114" s="2" t="n">
        <v>5</v>
      </c>
      <c r="I1114" s="2" t="str">
        <f aca="false">IF(C1114="","Open","Resolved")</f>
        <v>Resolved</v>
      </c>
      <c r="J1114" s="2" t="str">
        <f aca="false">TEXT(B1114,"yyyy-mm")</f>
        <v>2026-06</v>
      </c>
      <c r="K1114" s="8" t="n">
        <f aca="false">IF(C1114="","",ROUND((C1114-B1114)*24,2))</f>
        <v>32.6</v>
      </c>
      <c r="L1114" s="2" t="n">
        <f aca="false">INDEX('SLA Policy'!$B$2:$B$5,MATCH(E1114,'SLA Policy'!$A$2:$A$5,0))</f>
        <v>24</v>
      </c>
      <c r="M1114" s="2" t="str">
        <f aca="false">IF(K1114="","Open",IF(K1114&lt;=L1114,"Yes","No"))</f>
        <v>No</v>
      </c>
    </row>
    <row r="1115" customFormat="false" ht="15" hidden="false" customHeight="false" outlineLevel="0" collapsed="false">
      <c r="A1115" s="2" t="s">
        <v>1149</v>
      </c>
      <c r="B1115" s="7" t="n">
        <v>46189.6090277778</v>
      </c>
      <c r="C1115" s="7" t="n">
        <v>46189.8548611111</v>
      </c>
      <c r="D1115" s="2" t="s">
        <v>42</v>
      </c>
      <c r="E1115" s="2" t="s">
        <v>35</v>
      </c>
      <c r="F1115" s="2" t="s">
        <v>27</v>
      </c>
      <c r="G1115" s="2" t="s">
        <v>29</v>
      </c>
      <c r="H1115" s="2" t="n">
        <v>5</v>
      </c>
      <c r="I1115" s="2" t="str">
        <f aca="false">IF(C1115="","Open","Resolved")</f>
        <v>Resolved</v>
      </c>
      <c r="J1115" s="2" t="str">
        <f aca="false">TEXT(B1115,"yyyy-mm")</f>
        <v>2026-06</v>
      </c>
      <c r="K1115" s="8" t="n">
        <f aca="false">IF(C1115="","",ROUND((C1115-B1115)*24,2))</f>
        <v>5.9</v>
      </c>
      <c r="L1115" s="2" t="n">
        <f aca="false">INDEX('SLA Policy'!$B$2:$B$5,MATCH(E1115,'SLA Policy'!$A$2:$A$5,0))</f>
        <v>24</v>
      </c>
      <c r="M1115" s="2" t="str">
        <f aca="false">IF(K1115="","Open",IF(K1115&lt;=L1115,"Yes","No"))</f>
        <v>Yes</v>
      </c>
    </row>
    <row r="1116" customFormat="false" ht="15" hidden="false" customHeight="false" outlineLevel="0" collapsed="false">
      <c r="A1116" s="2" t="s">
        <v>1150</v>
      </c>
      <c r="B1116" s="7" t="n">
        <v>46189.6277777778</v>
      </c>
      <c r="C1116" s="7" t="n">
        <v>46190.0256944444</v>
      </c>
      <c r="D1116" s="2" t="s">
        <v>42</v>
      </c>
      <c r="E1116" s="2" t="s">
        <v>35</v>
      </c>
      <c r="F1116" s="2" t="s">
        <v>24</v>
      </c>
      <c r="G1116" s="2" t="s">
        <v>29</v>
      </c>
      <c r="H1116" s="2" t="n">
        <v>4</v>
      </c>
      <c r="I1116" s="2" t="str">
        <f aca="false">IF(C1116="","Open","Resolved")</f>
        <v>Resolved</v>
      </c>
      <c r="J1116" s="2" t="str">
        <f aca="false">TEXT(B1116,"yyyy-mm")</f>
        <v>2026-06</v>
      </c>
      <c r="K1116" s="8" t="n">
        <f aca="false">IF(C1116="","",ROUND((C1116-B1116)*24,2))</f>
        <v>9.55</v>
      </c>
      <c r="L1116" s="2" t="n">
        <f aca="false">INDEX('SLA Policy'!$B$2:$B$5,MATCH(E1116,'SLA Policy'!$A$2:$A$5,0))</f>
        <v>24</v>
      </c>
      <c r="M1116" s="2" t="str">
        <f aca="false">IF(K1116="","Open",IF(K1116&lt;=L1116,"Yes","No"))</f>
        <v>Yes</v>
      </c>
    </row>
    <row r="1117" customFormat="false" ht="15" hidden="false" customHeight="false" outlineLevel="0" collapsed="false">
      <c r="A1117" s="2" t="s">
        <v>1151</v>
      </c>
      <c r="B1117" s="7" t="n">
        <v>46189.6951388889</v>
      </c>
      <c r="C1117" s="7" t="n">
        <v>46190.0493055556</v>
      </c>
      <c r="D1117" s="2" t="s">
        <v>42</v>
      </c>
      <c r="E1117" s="2" t="s">
        <v>32</v>
      </c>
      <c r="F1117" s="2" t="s">
        <v>24</v>
      </c>
      <c r="G1117" s="2" t="s">
        <v>29</v>
      </c>
      <c r="H1117" s="2" t="n">
        <v>5</v>
      </c>
      <c r="I1117" s="2" t="str">
        <f aca="false">IF(C1117="","Open","Resolved")</f>
        <v>Resolved</v>
      </c>
      <c r="J1117" s="2" t="str">
        <f aca="false">TEXT(B1117,"yyyy-mm")</f>
        <v>2026-06</v>
      </c>
      <c r="K1117" s="8" t="n">
        <f aca="false">IF(C1117="","",ROUND((C1117-B1117)*24,2))</f>
        <v>8.5</v>
      </c>
      <c r="L1117" s="2" t="n">
        <f aca="false">INDEX('SLA Policy'!$B$2:$B$5,MATCH(E1117,'SLA Policy'!$A$2:$A$5,0))</f>
        <v>72</v>
      </c>
      <c r="M1117" s="2" t="str">
        <f aca="false">IF(K1117="","Open",IF(K1117&lt;=L1117,"Yes","No"))</f>
        <v>Yes</v>
      </c>
    </row>
    <row r="1118" customFormat="false" ht="15" hidden="false" customHeight="false" outlineLevel="0" collapsed="false">
      <c r="A1118" s="2" t="s">
        <v>1152</v>
      </c>
      <c r="B1118" s="7" t="n">
        <v>46189.7020833333</v>
      </c>
      <c r="C1118" s="7" t="n">
        <v>46190.8131944445</v>
      </c>
      <c r="D1118" s="2" t="s">
        <v>42</v>
      </c>
      <c r="E1118" s="2" t="s">
        <v>35</v>
      </c>
      <c r="F1118" s="2" t="s">
        <v>24</v>
      </c>
      <c r="G1118" s="2" t="s">
        <v>29</v>
      </c>
      <c r="H1118" s="2" t="n">
        <v>4</v>
      </c>
      <c r="I1118" s="2" t="str">
        <f aca="false">IF(C1118="","Open","Resolved")</f>
        <v>Resolved</v>
      </c>
      <c r="J1118" s="2" t="str">
        <f aca="false">TEXT(B1118,"yyyy-mm")</f>
        <v>2026-06</v>
      </c>
      <c r="K1118" s="8" t="n">
        <f aca="false">IF(C1118="","",ROUND((C1118-B1118)*24,2))</f>
        <v>26.67</v>
      </c>
      <c r="L1118" s="2" t="n">
        <f aca="false">INDEX('SLA Policy'!$B$2:$B$5,MATCH(E1118,'SLA Policy'!$A$2:$A$5,0))</f>
        <v>24</v>
      </c>
      <c r="M1118" s="2" t="str">
        <f aca="false">IF(K1118="","Open",IF(K1118&lt;=L1118,"Yes","No"))</f>
        <v>No</v>
      </c>
    </row>
    <row r="1119" customFormat="false" ht="15" hidden="false" customHeight="false" outlineLevel="0" collapsed="false">
      <c r="A1119" s="2" t="s">
        <v>1153</v>
      </c>
      <c r="B1119" s="7" t="n">
        <v>46189.7263888889</v>
      </c>
      <c r="C1119" s="7" t="n">
        <v>46190.1347222222</v>
      </c>
      <c r="D1119" s="2" t="s">
        <v>42</v>
      </c>
      <c r="E1119" s="2" t="s">
        <v>35</v>
      </c>
      <c r="F1119" s="2" t="s">
        <v>28</v>
      </c>
      <c r="G1119" s="2" t="s">
        <v>29</v>
      </c>
      <c r="H1119" s="2" t="n">
        <v>5</v>
      </c>
      <c r="I1119" s="2" t="str">
        <f aca="false">IF(C1119="","Open","Resolved")</f>
        <v>Resolved</v>
      </c>
      <c r="J1119" s="2" t="str">
        <f aca="false">TEXT(B1119,"yyyy-mm")</f>
        <v>2026-06</v>
      </c>
      <c r="K1119" s="8" t="n">
        <f aca="false">IF(C1119="","",ROUND((C1119-B1119)*24,2))</f>
        <v>9.8</v>
      </c>
      <c r="L1119" s="2" t="n">
        <f aca="false">INDEX('SLA Policy'!$B$2:$B$5,MATCH(E1119,'SLA Policy'!$A$2:$A$5,0))</f>
        <v>24</v>
      </c>
      <c r="M1119" s="2" t="str">
        <f aca="false">IF(K1119="","Open",IF(K1119&lt;=L1119,"Yes","No"))</f>
        <v>Yes</v>
      </c>
    </row>
    <row r="1120" customFormat="false" ht="15" hidden="false" customHeight="false" outlineLevel="0" collapsed="false">
      <c r="A1120" s="2" t="s">
        <v>1154</v>
      </c>
      <c r="B1120" s="7" t="n">
        <v>46189.7722222222</v>
      </c>
      <c r="C1120" s="7" t="n">
        <v>46190.5534722222</v>
      </c>
      <c r="D1120" s="2" t="s">
        <v>31</v>
      </c>
      <c r="E1120" s="2" t="s">
        <v>32</v>
      </c>
      <c r="F1120" s="2" t="s">
        <v>38</v>
      </c>
      <c r="G1120" s="2" t="s">
        <v>33</v>
      </c>
      <c r="H1120" s="2" t="n">
        <v>4</v>
      </c>
      <c r="I1120" s="2" t="str">
        <f aca="false">IF(C1120="","Open","Resolved")</f>
        <v>Resolved</v>
      </c>
      <c r="J1120" s="2" t="str">
        <f aca="false">TEXT(B1120,"yyyy-mm")</f>
        <v>2026-06</v>
      </c>
      <c r="K1120" s="8" t="n">
        <f aca="false">IF(C1120="","",ROUND((C1120-B1120)*24,2))</f>
        <v>18.75</v>
      </c>
      <c r="L1120" s="2" t="n">
        <f aca="false">INDEX('SLA Policy'!$B$2:$B$5,MATCH(E1120,'SLA Policy'!$A$2:$A$5,0))</f>
        <v>72</v>
      </c>
      <c r="M1120" s="2" t="str">
        <f aca="false">IF(K1120="","Open",IF(K1120&lt;=L1120,"Yes","No"))</f>
        <v>Yes</v>
      </c>
    </row>
    <row r="1121" customFormat="false" ht="15" hidden="false" customHeight="false" outlineLevel="0" collapsed="false">
      <c r="A1121" s="2" t="s">
        <v>1155</v>
      </c>
      <c r="B1121" s="7" t="n">
        <v>46190.2972222222</v>
      </c>
      <c r="C1121" s="7" t="n">
        <v>46191.2840277778</v>
      </c>
      <c r="D1121" s="2" t="s">
        <v>48</v>
      </c>
      <c r="E1121" s="2" t="s">
        <v>35</v>
      </c>
      <c r="F1121" s="2" t="s">
        <v>38</v>
      </c>
      <c r="G1121" s="2" t="s">
        <v>25</v>
      </c>
      <c r="H1121" s="2" t="n">
        <v>4</v>
      </c>
      <c r="I1121" s="2" t="str">
        <f aca="false">IF(C1121="","Open","Resolved")</f>
        <v>Resolved</v>
      </c>
      <c r="J1121" s="2" t="str">
        <f aca="false">TEXT(B1121,"yyyy-mm")</f>
        <v>2026-06</v>
      </c>
      <c r="K1121" s="8" t="n">
        <f aca="false">IF(C1121="","",ROUND((C1121-B1121)*24,2))</f>
        <v>23.68</v>
      </c>
      <c r="L1121" s="2" t="n">
        <f aca="false">INDEX('SLA Policy'!$B$2:$B$5,MATCH(E1121,'SLA Policy'!$A$2:$A$5,0))</f>
        <v>24</v>
      </c>
      <c r="M1121" s="2" t="str">
        <f aca="false">IF(K1121="","Open",IF(K1121&lt;=L1121,"Yes","No"))</f>
        <v>Yes</v>
      </c>
    </row>
    <row r="1122" customFormat="false" ht="15" hidden="false" customHeight="false" outlineLevel="0" collapsed="false">
      <c r="A1122" s="2" t="s">
        <v>1156</v>
      </c>
      <c r="B1122" s="7" t="n">
        <v>46190.3534722222</v>
      </c>
      <c r="C1122" s="7" t="n">
        <v>46190.6895833333</v>
      </c>
      <c r="D1122" s="2" t="s">
        <v>27</v>
      </c>
      <c r="E1122" s="2" t="s">
        <v>35</v>
      </c>
      <c r="F1122" s="2" t="s">
        <v>38</v>
      </c>
      <c r="G1122" s="2" t="s">
        <v>29</v>
      </c>
      <c r="H1122" s="2" t="n">
        <v>5</v>
      </c>
      <c r="I1122" s="2" t="str">
        <f aca="false">IF(C1122="","Open","Resolved")</f>
        <v>Resolved</v>
      </c>
      <c r="J1122" s="2" t="str">
        <f aca="false">TEXT(B1122,"yyyy-mm")</f>
        <v>2026-06</v>
      </c>
      <c r="K1122" s="8" t="n">
        <f aca="false">IF(C1122="","",ROUND((C1122-B1122)*24,2))</f>
        <v>8.07</v>
      </c>
      <c r="L1122" s="2" t="n">
        <f aca="false">INDEX('SLA Policy'!$B$2:$B$5,MATCH(E1122,'SLA Policy'!$A$2:$A$5,0))</f>
        <v>24</v>
      </c>
      <c r="M1122" s="2" t="str">
        <f aca="false">IF(K1122="","Open",IF(K1122&lt;=L1122,"Yes","No"))</f>
        <v>Yes</v>
      </c>
    </row>
    <row r="1123" customFormat="false" ht="15" hidden="false" customHeight="false" outlineLevel="0" collapsed="false">
      <c r="A1123" s="2" t="s">
        <v>1157</v>
      </c>
      <c r="B1123" s="7" t="n">
        <v>46190.3722222222</v>
      </c>
      <c r="C1123" s="7" t="n">
        <v>46191.09375</v>
      </c>
      <c r="D1123" s="2" t="s">
        <v>42</v>
      </c>
      <c r="E1123" s="2" t="s">
        <v>32</v>
      </c>
      <c r="F1123" s="2" t="s">
        <v>27</v>
      </c>
      <c r="G1123" s="2" t="s">
        <v>29</v>
      </c>
      <c r="H1123" s="2" t="n">
        <v>4</v>
      </c>
      <c r="I1123" s="2" t="str">
        <f aca="false">IF(C1123="","Open","Resolved")</f>
        <v>Resolved</v>
      </c>
      <c r="J1123" s="2" t="str">
        <f aca="false">TEXT(B1123,"yyyy-mm")</f>
        <v>2026-06</v>
      </c>
      <c r="K1123" s="8" t="n">
        <f aca="false">IF(C1123="","",ROUND((C1123-B1123)*24,2))</f>
        <v>17.32</v>
      </c>
      <c r="L1123" s="2" t="n">
        <f aca="false">INDEX('SLA Policy'!$B$2:$B$5,MATCH(E1123,'SLA Policy'!$A$2:$A$5,0))</f>
        <v>72</v>
      </c>
      <c r="M1123" s="2" t="str">
        <f aca="false">IF(K1123="","Open",IF(K1123&lt;=L1123,"Yes","No"))</f>
        <v>Yes</v>
      </c>
    </row>
    <row r="1124" customFormat="false" ht="15" hidden="false" customHeight="false" outlineLevel="0" collapsed="false">
      <c r="A1124" s="2" t="s">
        <v>1158</v>
      </c>
      <c r="B1124" s="7" t="n">
        <v>46190.4791666667</v>
      </c>
      <c r="C1124" s="7" t="n">
        <v>46193.0048611111</v>
      </c>
      <c r="D1124" s="2" t="s">
        <v>48</v>
      </c>
      <c r="E1124" s="2" t="s">
        <v>32</v>
      </c>
      <c r="F1124" s="2" t="s">
        <v>24</v>
      </c>
      <c r="G1124" s="2" t="s">
        <v>25</v>
      </c>
      <c r="H1124" s="2" t="n">
        <v>3</v>
      </c>
      <c r="I1124" s="2" t="str">
        <f aca="false">IF(C1124="","Open","Resolved")</f>
        <v>Resolved</v>
      </c>
      <c r="J1124" s="2" t="str">
        <f aca="false">TEXT(B1124,"yyyy-mm")</f>
        <v>2026-06</v>
      </c>
      <c r="K1124" s="8" t="n">
        <f aca="false">IF(C1124="","",ROUND((C1124-B1124)*24,2))</f>
        <v>60.62</v>
      </c>
      <c r="L1124" s="2" t="n">
        <f aca="false">INDEX('SLA Policy'!$B$2:$B$5,MATCH(E1124,'SLA Policy'!$A$2:$A$5,0))</f>
        <v>72</v>
      </c>
      <c r="M1124" s="2" t="str">
        <f aca="false">IF(K1124="","Open",IF(K1124&lt;=L1124,"Yes","No"))</f>
        <v>Yes</v>
      </c>
    </row>
    <row r="1125" customFormat="false" ht="15" hidden="false" customHeight="false" outlineLevel="0" collapsed="false">
      <c r="A1125" s="2" t="s">
        <v>1159</v>
      </c>
      <c r="B1125" s="7" t="n">
        <v>46190.7444444444</v>
      </c>
      <c r="C1125" s="7" t="n">
        <v>46191.0298611111</v>
      </c>
      <c r="D1125" s="2" t="s">
        <v>31</v>
      </c>
      <c r="E1125" s="2" t="s">
        <v>23</v>
      </c>
      <c r="F1125" s="2" t="s">
        <v>38</v>
      </c>
      <c r="G1125" s="2" t="s">
        <v>33</v>
      </c>
      <c r="H1125" s="2" t="n">
        <v>5</v>
      </c>
      <c r="I1125" s="2" t="str">
        <f aca="false">IF(C1125="","Open","Resolved")</f>
        <v>Resolved</v>
      </c>
      <c r="J1125" s="2" t="str">
        <f aca="false">TEXT(B1125,"yyyy-mm")</f>
        <v>2026-06</v>
      </c>
      <c r="K1125" s="8" t="n">
        <f aca="false">IF(C1125="","",ROUND((C1125-B1125)*24,2))</f>
        <v>6.85</v>
      </c>
      <c r="L1125" s="2" t="n">
        <f aca="false">INDEX('SLA Policy'!$B$2:$B$5,MATCH(E1125,'SLA Policy'!$A$2:$A$5,0))</f>
        <v>8</v>
      </c>
      <c r="M1125" s="2" t="str">
        <f aca="false">IF(K1125="","Open",IF(K1125&lt;=L1125,"Yes","No"))</f>
        <v>Yes</v>
      </c>
    </row>
    <row r="1126" customFormat="false" ht="15" hidden="false" customHeight="false" outlineLevel="0" collapsed="false">
      <c r="A1126" s="2" t="s">
        <v>1160</v>
      </c>
      <c r="B1126" s="7" t="n">
        <v>46190.7604166667</v>
      </c>
      <c r="C1126" s="7" t="n">
        <v>46192.2590277778</v>
      </c>
      <c r="D1126" s="2" t="s">
        <v>22</v>
      </c>
      <c r="E1126" s="2" t="s">
        <v>35</v>
      </c>
      <c r="F1126" s="2" t="s">
        <v>28</v>
      </c>
      <c r="G1126" s="2" t="s">
        <v>25</v>
      </c>
      <c r="H1126" s="2" t="n">
        <v>2</v>
      </c>
      <c r="I1126" s="2" t="str">
        <f aca="false">IF(C1126="","Open","Resolved")</f>
        <v>Resolved</v>
      </c>
      <c r="J1126" s="2" t="str">
        <f aca="false">TEXT(B1126,"yyyy-mm")</f>
        <v>2026-06</v>
      </c>
      <c r="K1126" s="8" t="n">
        <f aca="false">IF(C1126="","",ROUND((C1126-B1126)*24,2))</f>
        <v>35.97</v>
      </c>
      <c r="L1126" s="2" t="n">
        <f aca="false">INDEX('SLA Policy'!$B$2:$B$5,MATCH(E1126,'SLA Policy'!$A$2:$A$5,0))</f>
        <v>24</v>
      </c>
      <c r="M1126" s="2" t="str">
        <f aca="false">IF(K1126="","Open",IF(K1126&lt;=L1126,"Yes","No"))</f>
        <v>No</v>
      </c>
    </row>
    <row r="1127" customFormat="false" ht="15" hidden="false" customHeight="false" outlineLevel="0" collapsed="false">
      <c r="A1127" s="2" t="s">
        <v>1161</v>
      </c>
      <c r="B1127" s="7" t="n">
        <v>46190.7847222222</v>
      </c>
      <c r="C1127" s="7" t="n">
        <v>46191.2666666667</v>
      </c>
      <c r="D1127" s="2" t="s">
        <v>31</v>
      </c>
      <c r="E1127" s="2" t="s">
        <v>23</v>
      </c>
      <c r="F1127" s="2" t="s">
        <v>38</v>
      </c>
      <c r="G1127" s="2" t="s">
        <v>33</v>
      </c>
      <c r="H1127" s="2" t="n">
        <v>4</v>
      </c>
      <c r="I1127" s="2" t="str">
        <f aca="false">IF(C1127="","Open","Resolved")</f>
        <v>Resolved</v>
      </c>
      <c r="J1127" s="2" t="str">
        <f aca="false">TEXT(B1127,"yyyy-mm")</f>
        <v>2026-06</v>
      </c>
      <c r="K1127" s="8" t="n">
        <f aca="false">IF(C1127="","",ROUND((C1127-B1127)*24,2))</f>
        <v>11.57</v>
      </c>
      <c r="L1127" s="2" t="n">
        <f aca="false">INDEX('SLA Policy'!$B$2:$B$5,MATCH(E1127,'SLA Policy'!$A$2:$A$5,0))</f>
        <v>8</v>
      </c>
      <c r="M1127" s="2" t="str">
        <f aca="false">IF(K1127="","Open",IF(K1127&lt;=L1127,"Yes","No"))</f>
        <v>No</v>
      </c>
    </row>
    <row r="1128" customFormat="false" ht="15" hidden="false" customHeight="false" outlineLevel="0" collapsed="false">
      <c r="A1128" s="2" t="s">
        <v>1162</v>
      </c>
      <c r="B1128" s="7" t="n">
        <v>46191.2958333333</v>
      </c>
      <c r="C1128" s="7" t="n">
        <v>46191.35</v>
      </c>
      <c r="D1128" s="2" t="s">
        <v>42</v>
      </c>
      <c r="E1128" s="2" t="s">
        <v>40</v>
      </c>
      <c r="F1128" s="2" t="s">
        <v>24</v>
      </c>
      <c r="G1128" s="2" t="s">
        <v>29</v>
      </c>
      <c r="H1128" s="2" t="n">
        <v>5</v>
      </c>
      <c r="I1128" s="2" t="str">
        <f aca="false">IF(C1128="","Open","Resolved")</f>
        <v>Resolved</v>
      </c>
      <c r="J1128" s="2" t="str">
        <f aca="false">TEXT(B1128,"yyyy-mm")</f>
        <v>2026-06</v>
      </c>
      <c r="K1128" s="8" t="n">
        <f aca="false">IF(C1128="","",ROUND((C1128-B1128)*24,2))</f>
        <v>1.3</v>
      </c>
      <c r="L1128" s="2" t="n">
        <f aca="false">INDEX('SLA Policy'!$B$2:$B$5,MATCH(E1128,'SLA Policy'!$A$2:$A$5,0))</f>
        <v>4</v>
      </c>
      <c r="M1128" s="2" t="str">
        <f aca="false">IF(K1128="","Open",IF(K1128&lt;=L1128,"Yes","No"))</f>
        <v>Yes</v>
      </c>
    </row>
    <row r="1129" customFormat="false" ht="15" hidden="false" customHeight="false" outlineLevel="0" collapsed="false">
      <c r="A1129" s="2" t="s">
        <v>1163</v>
      </c>
      <c r="B1129" s="7" t="n">
        <v>46191.3506944445</v>
      </c>
      <c r="C1129" s="7" t="n">
        <v>46192.9166666667</v>
      </c>
      <c r="D1129" s="2" t="s">
        <v>48</v>
      </c>
      <c r="E1129" s="2" t="s">
        <v>32</v>
      </c>
      <c r="F1129" s="2" t="s">
        <v>24</v>
      </c>
      <c r="G1129" s="2" t="s">
        <v>25</v>
      </c>
      <c r="H1129" s="2" t="n">
        <v>3</v>
      </c>
      <c r="I1129" s="2" t="str">
        <f aca="false">IF(C1129="","Open","Resolved")</f>
        <v>Resolved</v>
      </c>
      <c r="J1129" s="2" t="str">
        <f aca="false">TEXT(B1129,"yyyy-mm")</f>
        <v>2026-06</v>
      </c>
      <c r="K1129" s="8" t="n">
        <f aca="false">IF(C1129="","",ROUND((C1129-B1129)*24,2))</f>
        <v>37.58</v>
      </c>
      <c r="L1129" s="2" t="n">
        <f aca="false">INDEX('SLA Policy'!$B$2:$B$5,MATCH(E1129,'SLA Policy'!$A$2:$A$5,0))</f>
        <v>72</v>
      </c>
      <c r="M1129" s="2" t="str">
        <f aca="false">IF(K1129="","Open",IF(K1129&lt;=L1129,"Yes","No"))</f>
        <v>Yes</v>
      </c>
    </row>
    <row r="1130" customFormat="false" ht="15" hidden="false" customHeight="false" outlineLevel="0" collapsed="false">
      <c r="A1130" s="2" t="s">
        <v>1164</v>
      </c>
      <c r="B1130" s="7" t="n">
        <v>46191.4631944444</v>
      </c>
      <c r="C1130" s="7" t="n">
        <v>46192.1326388889</v>
      </c>
      <c r="D1130" s="2" t="s">
        <v>42</v>
      </c>
      <c r="E1130" s="2" t="s">
        <v>32</v>
      </c>
      <c r="F1130" s="2" t="s">
        <v>38</v>
      </c>
      <c r="G1130" s="2" t="s">
        <v>29</v>
      </c>
      <c r="H1130" s="2" t="n">
        <v>5</v>
      </c>
      <c r="I1130" s="2" t="str">
        <f aca="false">IF(C1130="","Open","Resolved")</f>
        <v>Resolved</v>
      </c>
      <c r="J1130" s="2" t="str">
        <f aca="false">TEXT(B1130,"yyyy-mm")</f>
        <v>2026-06</v>
      </c>
      <c r="K1130" s="8" t="n">
        <f aca="false">IF(C1130="","",ROUND((C1130-B1130)*24,2))</f>
        <v>16.07</v>
      </c>
      <c r="L1130" s="2" t="n">
        <f aca="false">INDEX('SLA Policy'!$B$2:$B$5,MATCH(E1130,'SLA Policy'!$A$2:$A$5,0))</f>
        <v>72</v>
      </c>
      <c r="M1130" s="2" t="str">
        <f aca="false">IF(K1130="","Open",IF(K1130&lt;=L1130,"Yes","No"))</f>
        <v>Yes</v>
      </c>
    </row>
    <row r="1131" customFormat="false" ht="15" hidden="false" customHeight="false" outlineLevel="0" collapsed="false">
      <c r="A1131" s="2" t="s">
        <v>1165</v>
      </c>
      <c r="B1131" s="7" t="n">
        <v>46191.5444444444</v>
      </c>
      <c r="C1131" s="7" t="n">
        <v>46192.8590277778</v>
      </c>
      <c r="D1131" s="2" t="s">
        <v>48</v>
      </c>
      <c r="E1131" s="2" t="s">
        <v>35</v>
      </c>
      <c r="F1131" s="2" t="s">
        <v>28</v>
      </c>
      <c r="G1131" s="2" t="s">
        <v>25</v>
      </c>
      <c r="H1131" s="2" t="n">
        <v>5</v>
      </c>
      <c r="I1131" s="2" t="str">
        <f aca="false">IF(C1131="","Open","Resolved")</f>
        <v>Resolved</v>
      </c>
      <c r="J1131" s="2" t="str">
        <f aca="false">TEXT(B1131,"yyyy-mm")</f>
        <v>2026-06</v>
      </c>
      <c r="K1131" s="8" t="n">
        <f aca="false">IF(C1131="","",ROUND((C1131-B1131)*24,2))</f>
        <v>31.55</v>
      </c>
      <c r="L1131" s="2" t="n">
        <f aca="false">INDEX('SLA Policy'!$B$2:$B$5,MATCH(E1131,'SLA Policy'!$A$2:$A$5,0))</f>
        <v>24</v>
      </c>
      <c r="M1131" s="2" t="str">
        <f aca="false">IF(K1131="","Open",IF(K1131&lt;=L1131,"Yes","No"))</f>
        <v>No</v>
      </c>
    </row>
    <row r="1132" customFormat="false" ht="15" hidden="false" customHeight="false" outlineLevel="0" collapsed="false">
      <c r="A1132" s="2" t="s">
        <v>1166</v>
      </c>
      <c r="B1132" s="7" t="n">
        <v>46191.5680555556</v>
      </c>
      <c r="C1132" s="7" t="n">
        <v>46191.7298611111</v>
      </c>
      <c r="D1132" s="2" t="s">
        <v>42</v>
      </c>
      <c r="E1132" s="2" t="s">
        <v>23</v>
      </c>
      <c r="F1132" s="2" t="s">
        <v>27</v>
      </c>
      <c r="G1132" s="2" t="s">
        <v>29</v>
      </c>
      <c r="H1132" s="2" t="n">
        <v>5</v>
      </c>
      <c r="I1132" s="2" t="str">
        <f aca="false">IF(C1132="","Open","Resolved")</f>
        <v>Resolved</v>
      </c>
      <c r="J1132" s="2" t="str">
        <f aca="false">TEXT(B1132,"yyyy-mm")</f>
        <v>2026-06</v>
      </c>
      <c r="K1132" s="8" t="n">
        <f aca="false">IF(C1132="","",ROUND((C1132-B1132)*24,2))</f>
        <v>3.88</v>
      </c>
      <c r="L1132" s="2" t="n">
        <f aca="false">INDEX('SLA Policy'!$B$2:$B$5,MATCH(E1132,'SLA Policy'!$A$2:$A$5,0))</f>
        <v>8</v>
      </c>
      <c r="M1132" s="2" t="str">
        <f aca="false">IF(K1132="","Open",IF(K1132&lt;=L1132,"Yes","No"))</f>
        <v>Yes</v>
      </c>
    </row>
    <row r="1133" customFormat="false" ht="15" hidden="false" customHeight="false" outlineLevel="0" collapsed="false">
      <c r="A1133" s="2" t="s">
        <v>1167</v>
      </c>
      <c r="B1133" s="7" t="n">
        <v>46191.7534722222</v>
      </c>
      <c r="C1133" s="7" t="n">
        <v>46197.8027777778</v>
      </c>
      <c r="D1133" s="2" t="s">
        <v>22</v>
      </c>
      <c r="E1133" s="2" t="s">
        <v>35</v>
      </c>
      <c r="F1133" s="2" t="s">
        <v>28</v>
      </c>
      <c r="G1133" s="2" t="s">
        <v>25</v>
      </c>
      <c r="H1133" s="2" t="n">
        <v>1</v>
      </c>
      <c r="I1133" s="2" t="str">
        <f aca="false">IF(C1133="","Open","Resolved")</f>
        <v>Resolved</v>
      </c>
      <c r="J1133" s="2" t="str">
        <f aca="false">TEXT(B1133,"yyyy-mm")</f>
        <v>2026-06</v>
      </c>
      <c r="K1133" s="8" t="n">
        <f aca="false">IF(C1133="","",ROUND((C1133-B1133)*24,2))</f>
        <v>145.18</v>
      </c>
      <c r="L1133" s="2" t="n">
        <f aca="false">INDEX('SLA Policy'!$B$2:$B$5,MATCH(E1133,'SLA Policy'!$A$2:$A$5,0))</f>
        <v>24</v>
      </c>
      <c r="M1133" s="2" t="str">
        <f aca="false">IF(K1133="","Open",IF(K1133&lt;=L1133,"Yes","No"))</f>
        <v>No</v>
      </c>
    </row>
    <row r="1134" customFormat="false" ht="15" hidden="false" customHeight="false" outlineLevel="0" collapsed="false">
      <c r="A1134" s="2" t="s">
        <v>1168</v>
      </c>
      <c r="B1134" s="7" t="n">
        <v>46191.7791666667</v>
      </c>
      <c r="C1134" s="7" t="n">
        <v>46192.1861111111</v>
      </c>
      <c r="D1134" s="2" t="s">
        <v>48</v>
      </c>
      <c r="E1134" s="2" t="s">
        <v>23</v>
      </c>
      <c r="F1134" s="2" t="s">
        <v>24</v>
      </c>
      <c r="G1134" s="2" t="s">
        <v>25</v>
      </c>
      <c r="H1134" s="2" t="n">
        <v>3</v>
      </c>
      <c r="I1134" s="2" t="str">
        <f aca="false">IF(C1134="","Open","Resolved")</f>
        <v>Resolved</v>
      </c>
      <c r="J1134" s="2" t="str">
        <f aca="false">TEXT(B1134,"yyyy-mm")</f>
        <v>2026-06</v>
      </c>
      <c r="K1134" s="8" t="n">
        <f aca="false">IF(C1134="","",ROUND((C1134-B1134)*24,2))</f>
        <v>9.77</v>
      </c>
      <c r="L1134" s="2" t="n">
        <f aca="false">INDEX('SLA Policy'!$B$2:$B$5,MATCH(E1134,'SLA Policy'!$A$2:$A$5,0))</f>
        <v>8</v>
      </c>
      <c r="M1134" s="2" t="str">
        <f aca="false">IF(K1134="","Open",IF(K1134&lt;=L1134,"Yes","No"))</f>
        <v>No</v>
      </c>
    </row>
    <row r="1135" customFormat="false" ht="15" hidden="false" customHeight="false" outlineLevel="0" collapsed="false">
      <c r="A1135" s="2" t="s">
        <v>1169</v>
      </c>
      <c r="B1135" s="7" t="n">
        <v>46191.7888888889</v>
      </c>
      <c r="C1135" s="7" t="n">
        <v>46193.0513888889</v>
      </c>
      <c r="D1135" s="2" t="s">
        <v>31</v>
      </c>
      <c r="E1135" s="2" t="s">
        <v>35</v>
      </c>
      <c r="F1135" s="2" t="s">
        <v>27</v>
      </c>
      <c r="G1135" s="2" t="s">
        <v>33</v>
      </c>
      <c r="H1135" s="2" t="n">
        <v>3</v>
      </c>
      <c r="I1135" s="2" t="str">
        <f aca="false">IF(C1135="","Open","Resolved")</f>
        <v>Resolved</v>
      </c>
      <c r="J1135" s="2" t="str">
        <f aca="false">TEXT(B1135,"yyyy-mm")</f>
        <v>2026-06</v>
      </c>
      <c r="K1135" s="8" t="n">
        <f aca="false">IF(C1135="","",ROUND((C1135-B1135)*24,2))</f>
        <v>30.3</v>
      </c>
      <c r="L1135" s="2" t="n">
        <f aca="false">INDEX('SLA Policy'!$B$2:$B$5,MATCH(E1135,'SLA Policy'!$A$2:$A$5,0))</f>
        <v>24</v>
      </c>
      <c r="M1135" s="2" t="str">
        <f aca="false">IF(K1135="","Open",IF(K1135&lt;=L1135,"Yes","No"))</f>
        <v>No</v>
      </c>
    </row>
    <row r="1136" customFormat="false" ht="15" hidden="false" customHeight="false" outlineLevel="0" collapsed="false">
      <c r="A1136" s="2" t="s">
        <v>1170</v>
      </c>
      <c r="B1136" s="7" t="n">
        <v>46192.3756944445</v>
      </c>
      <c r="C1136" s="7" t="n">
        <v>46194.99375</v>
      </c>
      <c r="D1136" s="2" t="s">
        <v>31</v>
      </c>
      <c r="E1136" s="2" t="s">
        <v>32</v>
      </c>
      <c r="F1136" s="2" t="s">
        <v>28</v>
      </c>
      <c r="G1136" s="2" t="s">
        <v>33</v>
      </c>
      <c r="H1136" s="2" t="n">
        <v>3</v>
      </c>
      <c r="I1136" s="2" t="str">
        <f aca="false">IF(C1136="","Open","Resolved")</f>
        <v>Resolved</v>
      </c>
      <c r="J1136" s="2" t="str">
        <f aca="false">TEXT(B1136,"yyyy-mm")</f>
        <v>2026-06</v>
      </c>
      <c r="K1136" s="8" t="n">
        <f aca="false">IF(C1136="","",ROUND((C1136-B1136)*24,2))</f>
        <v>62.83</v>
      </c>
      <c r="L1136" s="2" t="n">
        <f aca="false">INDEX('SLA Policy'!$B$2:$B$5,MATCH(E1136,'SLA Policy'!$A$2:$A$5,0))</f>
        <v>72</v>
      </c>
      <c r="M1136" s="2" t="str">
        <f aca="false">IF(K1136="","Open",IF(K1136&lt;=L1136,"Yes","No"))</f>
        <v>Yes</v>
      </c>
    </row>
    <row r="1137" customFormat="false" ht="15" hidden="false" customHeight="false" outlineLevel="0" collapsed="false">
      <c r="A1137" s="2" t="s">
        <v>1171</v>
      </c>
      <c r="B1137" s="7" t="n">
        <v>46192.5</v>
      </c>
      <c r="C1137" s="7" t="n">
        <v>46194.7458333333</v>
      </c>
      <c r="D1137" s="2" t="s">
        <v>22</v>
      </c>
      <c r="E1137" s="2" t="s">
        <v>35</v>
      </c>
      <c r="F1137" s="2" t="s">
        <v>24</v>
      </c>
      <c r="G1137" s="2" t="s">
        <v>25</v>
      </c>
      <c r="H1137" s="2" t="n">
        <v>4</v>
      </c>
      <c r="I1137" s="2" t="str">
        <f aca="false">IF(C1137="","Open","Resolved")</f>
        <v>Resolved</v>
      </c>
      <c r="J1137" s="2" t="str">
        <f aca="false">TEXT(B1137,"yyyy-mm")</f>
        <v>2026-06</v>
      </c>
      <c r="K1137" s="8" t="n">
        <f aca="false">IF(C1137="","",ROUND((C1137-B1137)*24,2))</f>
        <v>53.9</v>
      </c>
      <c r="L1137" s="2" t="n">
        <f aca="false">INDEX('SLA Policy'!$B$2:$B$5,MATCH(E1137,'SLA Policy'!$A$2:$A$5,0))</f>
        <v>24</v>
      </c>
      <c r="M1137" s="2" t="str">
        <f aca="false">IF(K1137="","Open",IF(K1137&lt;=L1137,"Yes","No"))</f>
        <v>No</v>
      </c>
    </row>
    <row r="1138" customFormat="false" ht="15" hidden="false" customHeight="false" outlineLevel="0" collapsed="false">
      <c r="A1138" s="2" t="s">
        <v>1172</v>
      </c>
      <c r="B1138" s="7" t="n">
        <v>46192.7340277778</v>
      </c>
      <c r="C1138" s="7" t="n">
        <v>46193.1201388889</v>
      </c>
      <c r="D1138" s="2" t="s">
        <v>31</v>
      </c>
      <c r="E1138" s="2" t="s">
        <v>23</v>
      </c>
      <c r="F1138" s="2" t="s">
        <v>24</v>
      </c>
      <c r="G1138" s="2" t="s">
        <v>33</v>
      </c>
      <c r="H1138" s="2" t="n">
        <v>5</v>
      </c>
      <c r="I1138" s="2" t="str">
        <f aca="false">IF(C1138="","Open","Resolved")</f>
        <v>Resolved</v>
      </c>
      <c r="J1138" s="2" t="str">
        <f aca="false">TEXT(B1138,"yyyy-mm")</f>
        <v>2026-06</v>
      </c>
      <c r="K1138" s="8" t="n">
        <f aca="false">IF(C1138="","",ROUND((C1138-B1138)*24,2))</f>
        <v>9.27</v>
      </c>
      <c r="L1138" s="2" t="n">
        <f aca="false">INDEX('SLA Policy'!$B$2:$B$5,MATCH(E1138,'SLA Policy'!$A$2:$A$5,0))</f>
        <v>8</v>
      </c>
      <c r="M1138" s="2" t="str">
        <f aca="false">IF(K1138="","Open",IF(K1138&lt;=L1138,"Yes","No"))</f>
        <v>No</v>
      </c>
    </row>
    <row r="1139" customFormat="false" ht="15" hidden="false" customHeight="false" outlineLevel="0" collapsed="false">
      <c r="A1139" s="2" t="s">
        <v>1173</v>
      </c>
      <c r="B1139" s="7" t="n">
        <v>46193.3548611111</v>
      </c>
      <c r="C1139" s="7" t="n">
        <v>46196.0291666667</v>
      </c>
      <c r="D1139" s="2" t="s">
        <v>22</v>
      </c>
      <c r="E1139" s="2" t="s">
        <v>32</v>
      </c>
      <c r="F1139" s="2" t="s">
        <v>24</v>
      </c>
      <c r="G1139" s="2" t="s">
        <v>25</v>
      </c>
      <c r="H1139" s="2" t="n">
        <v>4</v>
      </c>
      <c r="I1139" s="2" t="str">
        <f aca="false">IF(C1139="","Open","Resolved")</f>
        <v>Resolved</v>
      </c>
      <c r="J1139" s="2" t="str">
        <f aca="false">TEXT(B1139,"yyyy-mm")</f>
        <v>2026-06</v>
      </c>
      <c r="K1139" s="8" t="n">
        <f aca="false">IF(C1139="","",ROUND((C1139-B1139)*24,2))</f>
        <v>64.18</v>
      </c>
      <c r="L1139" s="2" t="n">
        <f aca="false">INDEX('SLA Policy'!$B$2:$B$5,MATCH(E1139,'SLA Policy'!$A$2:$A$5,0))</f>
        <v>72</v>
      </c>
      <c r="M1139" s="2" t="str">
        <f aca="false">IF(K1139="","Open",IF(K1139&lt;=L1139,"Yes","No"))</f>
        <v>Yes</v>
      </c>
    </row>
    <row r="1140" customFormat="false" ht="15" hidden="false" customHeight="false" outlineLevel="0" collapsed="false">
      <c r="A1140" s="2" t="s">
        <v>1174</v>
      </c>
      <c r="B1140" s="7" t="n">
        <v>46193.3583333333</v>
      </c>
      <c r="C1140" s="7" t="n">
        <v>46194.6736111111</v>
      </c>
      <c r="D1140" s="2" t="s">
        <v>48</v>
      </c>
      <c r="E1140" s="2" t="s">
        <v>35</v>
      </c>
      <c r="F1140" s="2" t="s">
        <v>24</v>
      </c>
      <c r="G1140" s="2" t="s">
        <v>25</v>
      </c>
      <c r="H1140" s="2" t="n">
        <v>3</v>
      </c>
      <c r="I1140" s="2" t="str">
        <f aca="false">IF(C1140="","Open","Resolved")</f>
        <v>Resolved</v>
      </c>
      <c r="J1140" s="2" t="str">
        <f aca="false">TEXT(B1140,"yyyy-mm")</f>
        <v>2026-06</v>
      </c>
      <c r="K1140" s="8" t="n">
        <f aca="false">IF(C1140="","",ROUND((C1140-B1140)*24,2))</f>
        <v>31.57</v>
      </c>
      <c r="L1140" s="2" t="n">
        <f aca="false">INDEX('SLA Policy'!$B$2:$B$5,MATCH(E1140,'SLA Policy'!$A$2:$A$5,0))</f>
        <v>24</v>
      </c>
      <c r="M1140" s="2" t="str">
        <f aca="false">IF(K1140="","Open",IF(K1140&lt;=L1140,"Yes","No"))</f>
        <v>No</v>
      </c>
    </row>
    <row r="1141" customFormat="false" ht="15" hidden="false" customHeight="false" outlineLevel="0" collapsed="false">
      <c r="A1141" s="2" t="s">
        <v>1175</v>
      </c>
      <c r="B1141" s="7" t="n">
        <v>46194.2944444444</v>
      </c>
      <c r="C1141" s="7" t="n">
        <v>46196.5826388889</v>
      </c>
      <c r="D1141" s="2" t="s">
        <v>48</v>
      </c>
      <c r="E1141" s="2" t="s">
        <v>35</v>
      </c>
      <c r="F1141" s="2" t="s">
        <v>27</v>
      </c>
      <c r="G1141" s="2" t="s">
        <v>25</v>
      </c>
      <c r="H1141" s="2" t="n">
        <v>2</v>
      </c>
      <c r="I1141" s="2" t="str">
        <f aca="false">IF(C1141="","Open","Resolved")</f>
        <v>Resolved</v>
      </c>
      <c r="J1141" s="2" t="str">
        <f aca="false">TEXT(B1141,"yyyy-mm")</f>
        <v>2026-06</v>
      </c>
      <c r="K1141" s="8" t="n">
        <f aca="false">IF(C1141="","",ROUND((C1141-B1141)*24,2))</f>
        <v>54.92</v>
      </c>
      <c r="L1141" s="2" t="n">
        <f aca="false">INDEX('SLA Policy'!$B$2:$B$5,MATCH(E1141,'SLA Policy'!$A$2:$A$5,0))</f>
        <v>24</v>
      </c>
      <c r="M1141" s="2" t="str">
        <f aca="false">IF(K1141="","Open",IF(K1141&lt;=L1141,"Yes","No"))</f>
        <v>No</v>
      </c>
    </row>
    <row r="1142" customFormat="false" ht="15" hidden="false" customHeight="false" outlineLevel="0" collapsed="false">
      <c r="A1142" s="2" t="s">
        <v>1176</v>
      </c>
      <c r="B1142" s="7" t="n">
        <v>46194.3701388889</v>
      </c>
      <c r="C1142" s="7" t="n">
        <v>46195.1645833333</v>
      </c>
      <c r="D1142" s="2" t="s">
        <v>31</v>
      </c>
      <c r="E1142" s="2" t="s">
        <v>35</v>
      </c>
      <c r="F1142" s="2" t="s">
        <v>27</v>
      </c>
      <c r="G1142" s="2" t="s">
        <v>33</v>
      </c>
      <c r="H1142" s="2" t="n">
        <v>5</v>
      </c>
      <c r="I1142" s="2" t="str">
        <f aca="false">IF(C1142="","Open","Resolved")</f>
        <v>Resolved</v>
      </c>
      <c r="J1142" s="2" t="str">
        <f aca="false">TEXT(B1142,"yyyy-mm")</f>
        <v>2026-06</v>
      </c>
      <c r="K1142" s="8" t="n">
        <f aca="false">IF(C1142="","",ROUND((C1142-B1142)*24,2))</f>
        <v>19.07</v>
      </c>
      <c r="L1142" s="2" t="n">
        <f aca="false">INDEX('SLA Policy'!$B$2:$B$5,MATCH(E1142,'SLA Policy'!$A$2:$A$5,0))</f>
        <v>24</v>
      </c>
      <c r="M1142" s="2" t="str">
        <f aca="false">IF(K1142="","Open",IF(K1142&lt;=L1142,"Yes","No"))</f>
        <v>Yes</v>
      </c>
    </row>
    <row r="1143" customFormat="false" ht="15" hidden="false" customHeight="false" outlineLevel="0" collapsed="false">
      <c r="A1143" s="2" t="s">
        <v>1177</v>
      </c>
      <c r="B1143" s="7" t="n">
        <v>46195.4319444444</v>
      </c>
      <c r="C1143" s="7" t="n">
        <v>46195.6388888889</v>
      </c>
      <c r="D1143" s="2" t="s">
        <v>42</v>
      </c>
      <c r="E1143" s="2" t="s">
        <v>35</v>
      </c>
      <c r="F1143" s="2" t="s">
        <v>28</v>
      </c>
      <c r="G1143" s="2" t="s">
        <v>29</v>
      </c>
      <c r="H1143" s="2" t="n">
        <v>5</v>
      </c>
      <c r="I1143" s="2" t="str">
        <f aca="false">IF(C1143="","Open","Resolved")</f>
        <v>Resolved</v>
      </c>
      <c r="J1143" s="2" t="str">
        <f aca="false">TEXT(B1143,"yyyy-mm")</f>
        <v>2026-06</v>
      </c>
      <c r="K1143" s="8" t="n">
        <f aca="false">IF(C1143="","",ROUND((C1143-B1143)*24,2))</f>
        <v>4.97</v>
      </c>
      <c r="L1143" s="2" t="n">
        <f aca="false">INDEX('SLA Policy'!$B$2:$B$5,MATCH(E1143,'SLA Policy'!$A$2:$A$5,0))</f>
        <v>24</v>
      </c>
      <c r="M1143" s="2" t="str">
        <f aca="false">IF(K1143="","Open",IF(K1143&lt;=L1143,"Yes","No"))</f>
        <v>Yes</v>
      </c>
    </row>
    <row r="1144" customFormat="false" ht="15" hidden="false" customHeight="false" outlineLevel="0" collapsed="false">
      <c r="A1144" s="2" t="s">
        <v>1178</v>
      </c>
      <c r="B1144" s="7" t="n">
        <v>46195.4923611111</v>
      </c>
      <c r="C1144" s="7" t="n">
        <v>46195.9194444444</v>
      </c>
      <c r="D1144" s="2" t="s">
        <v>31</v>
      </c>
      <c r="E1144" s="2" t="s">
        <v>35</v>
      </c>
      <c r="F1144" s="2" t="s">
        <v>27</v>
      </c>
      <c r="G1144" s="2" t="s">
        <v>33</v>
      </c>
      <c r="H1144" s="2" t="n">
        <v>5</v>
      </c>
      <c r="I1144" s="2" t="str">
        <f aca="false">IF(C1144="","Open","Resolved")</f>
        <v>Resolved</v>
      </c>
      <c r="J1144" s="2" t="str">
        <f aca="false">TEXT(B1144,"yyyy-mm")</f>
        <v>2026-06</v>
      </c>
      <c r="K1144" s="8" t="n">
        <f aca="false">IF(C1144="","",ROUND((C1144-B1144)*24,2))</f>
        <v>10.25</v>
      </c>
      <c r="L1144" s="2" t="n">
        <f aca="false">INDEX('SLA Policy'!$B$2:$B$5,MATCH(E1144,'SLA Policy'!$A$2:$A$5,0))</f>
        <v>24</v>
      </c>
      <c r="M1144" s="2" t="str">
        <f aca="false">IF(K1144="","Open",IF(K1144&lt;=L1144,"Yes","No"))</f>
        <v>Yes</v>
      </c>
    </row>
    <row r="1145" customFormat="false" ht="15" hidden="false" customHeight="false" outlineLevel="0" collapsed="false">
      <c r="A1145" s="2" t="s">
        <v>1179</v>
      </c>
      <c r="B1145" s="7" t="n">
        <v>46195.5076388889</v>
      </c>
      <c r="C1145" s="7" t="n">
        <v>46195.5951388889</v>
      </c>
      <c r="D1145" s="2" t="s">
        <v>42</v>
      </c>
      <c r="E1145" s="2" t="s">
        <v>23</v>
      </c>
      <c r="F1145" s="2" t="s">
        <v>27</v>
      </c>
      <c r="G1145" s="2" t="s">
        <v>29</v>
      </c>
      <c r="H1145" s="2" t="n">
        <v>4</v>
      </c>
      <c r="I1145" s="2" t="str">
        <f aca="false">IF(C1145="","Open","Resolved")</f>
        <v>Resolved</v>
      </c>
      <c r="J1145" s="2" t="str">
        <f aca="false">TEXT(B1145,"yyyy-mm")</f>
        <v>2026-06</v>
      </c>
      <c r="K1145" s="8" t="n">
        <f aca="false">IF(C1145="","",ROUND((C1145-B1145)*24,2))</f>
        <v>2.1</v>
      </c>
      <c r="L1145" s="2" t="n">
        <f aca="false">INDEX('SLA Policy'!$B$2:$B$5,MATCH(E1145,'SLA Policy'!$A$2:$A$5,0))</f>
        <v>8</v>
      </c>
      <c r="M1145" s="2" t="str">
        <f aca="false">IF(K1145="","Open",IF(K1145&lt;=L1145,"Yes","No"))</f>
        <v>Yes</v>
      </c>
    </row>
    <row r="1146" customFormat="false" ht="15" hidden="false" customHeight="false" outlineLevel="0" collapsed="false">
      <c r="A1146" s="2" t="s">
        <v>1180</v>
      </c>
      <c r="B1146" s="7" t="n">
        <v>46195.5847222222</v>
      </c>
      <c r="C1146" s="7" t="n">
        <v>46196.11875</v>
      </c>
      <c r="D1146" s="2" t="s">
        <v>42</v>
      </c>
      <c r="E1146" s="2" t="s">
        <v>35</v>
      </c>
      <c r="F1146" s="2" t="s">
        <v>27</v>
      </c>
      <c r="G1146" s="2" t="s">
        <v>29</v>
      </c>
      <c r="H1146" s="2" t="n">
        <v>4</v>
      </c>
      <c r="I1146" s="2" t="str">
        <f aca="false">IF(C1146="","Open","Resolved")</f>
        <v>Resolved</v>
      </c>
      <c r="J1146" s="2" t="str">
        <f aca="false">TEXT(B1146,"yyyy-mm")</f>
        <v>2026-06</v>
      </c>
      <c r="K1146" s="8" t="n">
        <f aca="false">IF(C1146="","",ROUND((C1146-B1146)*24,2))</f>
        <v>12.82</v>
      </c>
      <c r="L1146" s="2" t="n">
        <f aca="false">INDEX('SLA Policy'!$B$2:$B$5,MATCH(E1146,'SLA Policy'!$A$2:$A$5,0))</f>
        <v>24</v>
      </c>
      <c r="M1146" s="2" t="str">
        <f aca="false">IF(K1146="","Open",IF(K1146&lt;=L1146,"Yes","No"))</f>
        <v>Yes</v>
      </c>
    </row>
    <row r="1147" customFormat="false" ht="15" hidden="false" customHeight="false" outlineLevel="0" collapsed="false">
      <c r="A1147" s="2" t="s">
        <v>1181</v>
      </c>
      <c r="B1147" s="7" t="n">
        <v>46195.6125</v>
      </c>
      <c r="C1147" s="7" t="n">
        <v>46195.9493055556</v>
      </c>
      <c r="D1147" s="2" t="s">
        <v>42</v>
      </c>
      <c r="E1147" s="2" t="s">
        <v>35</v>
      </c>
      <c r="F1147" s="2" t="s">
        <v>38</v>
      </c>
      <c r="G1147" s="2" t="s">
        <v>29</v>
      </c>
      <c r="H1147" s="2" t="n">
        <v>4</v>
      </c>
      <c r="I1147" s="2" t="str">
        <f aca="false">IF(C1147="","Open","Resolved")</f>
        <v>Resolved</v>
      </c>
      <c r="J1147" s="2" t="str">
        <f aca="false">TEXT(B1147,"yyyy-mm")</f>
        <v>2026-06</v>
      </c>
      <c r="K1147" s="8" t="n">
        <f aca="false">IF(C1147="","",ROUND((C1147-B1147)*24,2))</f>
        <v>8.08</v>
      </c>
      <c r="L1147" s="2" t="n">
        <f aca="false">INDEX('SLA Policy'!$B$2:$B$5,MATCH(E1147,'SLA Policy'!$A$2:$A$5,0))</f>
        <v>24</v>
      </c>
      <c r="M1147" s="2" t="str">
        <f aca="false">IF(K1147="","Open",IF(K1147&lt;=L1147,"Yes","No"))</f>
        <v>Yes</v>
      </c>
    </row>
    <row r="1148" customFormat="false" ht="15" hidden="false" customHeight="false" outlineLevel="0" collapsed="false">
      <c r="A1148" s="2" t="s">
        <v>1182</v>
      </c>
      <c r="B1148" s="7" t="n">
        <v>46195.7097222222</v>
      </c>
      <c r="C1148" s="7" t="n">
        <v>46195.9770833333</v>
      </c>
      <c r="D1148" s="2" t="s">
        <v>31</v>
      </c>
      <c r="E1148" s="2" t="s">
        <v>35</v>
      </c>
      <c r="F1148" s="2" t="s">
        <v>38</v>
      </c>
      <c r="G1148" s="2" t="s">
        <v>33</v>
      </c>
      <c r="H1148" s="2" t="n">
        <v>4</v>
      </c>
      <c r="I1148" s="2" t="str">
        <f aca="false">IF(C1148="","Open","Resolved")</f>
        <v>Resolved</v>
      </c>
      <c r="J1148" s="2" t="str">
        <f aca="false">TEXT(B1148,"yyyy-mm")</f>
        <v>2026-06</v>
      </c>
      <c r="K1148" s="8" t="n">
        <f aca="false">IF(C1148="","",ROUND((C1148-B1148)*24,2))</f>
        <v>6.42</v>
      </c>
      <c r="L1148" s="2" t="n">
        <f aca="false">INDEX('SLA Policy'!$B$2:$B$5,MATCH(E1148,'SLA Policy'!$A$2:$A$5,0))</f>
        <v>24</v>
      </c>
      <c r="M1148" s="2" t="str">
        <f aca="false">IF(K1148="","Open",IF(K1148&lt;=L1148,"Yes","No"))</f>
        <v>Yes</v>
      </c>
    </row>
    <row r="1149" customFormat="false" ht="15" hidden="false" customHeight="false" outlineLevel="0" collapsed="false">
      <c r="A1149" s="2" t="s">
        <v>1183</v>
      </c>
      <c r="B1149" s="7" t="n">
        <v>46195.7409722222</v>
      </c>
      <c r="C1149" s="7" t="n">
        <v>46196.4375</v>
      </c>
      <c r="D1149" s="2" t="s">
        <v>22</v>
      </c>
      <c r="E1149" s="2" t="s">
        <v>23</v>
      </c>
      <c r="F1149" s="2" t="s">
        <v>28</v>
      </c>
      <c r="G1149" s="2" t="s">
        <v>25</v>
      </c>
      <c r="H1149" s="2" t="n">
        <v>4</v>
      </c>
      <c r="I1149" s="2" t="str">
        <f aca="false">IF(C1149="","Open","Resolved")</f>
        <v>Resolved</v>
      </c>
      <c r="J1149" s="2" t="str">
        <f aca="false">TEXT(B1149,"yyyy-mm")</f>
        <v>2026-06</v>
      </c>
      <c r="K1149" s="8" t="n">
        <f aca="false">IF(C1149="","",ROUND((C1149-B1149)*24,2))</f>
        <v>16.72</v>
      </c>
      <c r="L1149" s="2" t="n">
        <f aca="false">INDEX('SLA Policy'!$B$2:$B$5,MATCH(E1149,'SLA Policy'!$A$2:$A$5,0))</f>
        <v>8</v>
      </c>
      <c r="M1149" s="2" t="str">
        <f aca="false">IF(K1149="","Open",IF(K1149&lt;=L1149,"Yes","No"))</f>
        <v>No</v>
      </c>
    </row>
    <row r="1150" customFormat="false" ht="15" hidden="false" customHeight="false" outlineLevel="0" collapsed="false">
      <c r="A1150" s="2" t="s">
        <v>1184</v>
      </c>
      <c r="B1150" s="7" t="n">
        <v>46195.7569444445</v>
      </c>
      <c r="C1150" s="7" t="n">
        <v>46196.0486111111</v>
      </c>
      <c r="D1150" s="2" t="s">
        <v>27</v>
      </c>
      <c r="E1150" s="2" t="s">
        <v>35</v>
      </c>
      <c r="F1150" s="2" t="s">
        <v>27</v>
      </c>
      <c r="G1150" s="2" t="s">
        <v>29</v>
      </c>
      <c r="H1150" s="2" t="n">
        <v>5</v>
      </c>
      <c r="I1150" s="2" t="str">
        <f aca="false">IF(C1150="","Open","Resolved")</f>
        <v>Resolved</v>
      </c>
      <c r="J1150" s="2" t="str">
        <f aca="false">TEXT(B1150,"yyyy-mm")</f>
        <v>2026-06</v>
      </c>
      <c r="K1150" s="8" t="n">
        <f aca="false">IF(C1150="","",ROUND((C1150-B1150)*24,2))</f>
        <v>7</v>
      </c>
      <c r="L1150" s="2" t="n">
        <f aca="false">INDEX('SLA Policy'!$B$2:$B$5,MATCH(E1150,'SLA Policy'!$A$2:$A$5,0))</f>
        <v>24</v>
      </c>
      <c r="M1150" s="2" t="str">
        <f aca="false">IF(K1150="","Open",IF(K1150&lt;=L1150,"Yes","No"))</f>
        <v>Yes</v>
      </c>
    </row>
    <row r="1151" customFormat="false" ht="15" hidden="false" customHeight="false" outlineLevel="0" collapsed="false">
      <c r="A1151" s="2" t="s">
        <v>1185</v>
      </c>
      <c r="B1151" s="7" t="n">
        <v>46195.7638888889</v>
      </c>
      <c r="C1151" s="7" t="n">
        <v>46196.8125</v>
      </c>
      <c r="D1151" s="2" t="s">
        <v>27</v>
      </c>
      <c r="E1151" s="2" t="s">
        <v>35</v>
      </c>
      <c r="F1151" s="2" t="s">
        <v>24</v>
      </c>
      <c r="G1151" s="2" t="s">
        <v>29</v>
      </c>
      <c r="H1151" s="2" t="n">
        <v>4</v>
      </c>
      <c r="I1151" s="2" t="str">
        <f aca="false">IF(C1151="","Open","Resolved")</f>
        <v>Resolved</v>
      </c>
      <c r="J1151" s="2" t="str">
        <f aca="false">TEXT(B1151,"yyyy-mm")</f>
        <v>2026-06</v>
      </c>
      <c r="K1151" s="8" t="n">
        <f aca="false">IF(C1151="","",ROUND((C1151-B1151)*24,2))</f>
        <v>25.17</v>
      </c>
      <c r="L1151" s="2" t="n">
        <f aca="false">INDEX('SLA Policy'!$B$2:$B$5,MATCH(E1151,'SLA Policy'!$A$2:$A$5,0))</f>
        <v>24</v>
      </c>
      <c r="M1151" s="2" t="str">
        <f aca="false">IF(K1151="","Open",IF(K1151&lt;=L1151,"Yes","No"))</f>
        <v>No</v>
      </c>
    </row>
    <row r="1152" customFormat="false" ht="15" hidden="false" customHeight="false" outlineLevel="0" collapsed="false">
      <c r="A1152" s="2" t="s">
        <v>1186</v>
      </c>
      <c r="B1152" s="7" t="n">
        <v>46196.3340277778</v>
      </c>
      <c r="C1152" s="7" t="n">
        <v>46196.6020833333</v>
      </c>
      <c r="D1152" s="2" t="s">
        <v>42</v>
      </c>
      <c r="E1152" s="2" t="s">
        <v>35</v>
      </c>
      <c r="F1152" s="2" t="s">
        <v>38</v>
      </c>
      <c r="G1152" s="2" t="s">
        <v>29</v>
      </c>
      <c r="H1152" s="2" t="n">
        <v>5</v>
      </c>
      <c r="I1152" s="2" t="str">
        <f aca="false">IF(C1152="","Open","Resolved")</f>
        <v>Resolved</v>
      </c>
      <c r="J1152" s="2" t="str">
        <f aca="false">TEXT(B1152,"yyyy-mm")</f>
        <v>2026-06</v>
      </c>
      <c r="K1152" s="8" t="n">
        <f aca="false">IF(C1152="","",ROUND((C1152-B1152)*24,2))</f>
        <v>6.43</v>
      </c>
      <c r="L1152" s="2" t="n">
        <f aca="false">INDEX('SLA Policy'!$B$2:$B$5,MATCH(E1152,'SLA Policy'!$A$2:$A$5,0))</f>
        <v>24</v>
      </c>
      <c r="M1152" s="2" t="str">
        <f aca="false">IF(K1152="","Open",IF(K1152&lt;=L1152,"Yes","No"))</f>
        <v>Yes</v>
      </c>
    </row>
    <row r="1153" customFormat="false" ht="15" hidden="false" customHeight="false" outlineLevel="0" collapsed="false">
      <c r="A1153" s="2" t="s">
        <v>1187</v>
      </c>
      <c r="B1153" s="7" t="n">
        <v>46196.3458333333</v>
      </c>
      <c r="C1153" s="7" t="n">
        <v>46196.7486111111</v>
      </c>
      <c r="D1153" s="2" t="s">
        <v>42</v>
      </c>
      <c r="E1153" s="2" t="s">
        <v>35</v>
      </c>
      <c r="F1153" s="2" t="s">
        <v>28</v>
      </c>
      <c r="G1153" s="2" t="s">
        <v>29</v>
      </c>
      <c r="H1153" s="2" t="n">
        <v>4</v>
      </c>
      <c r="I1153" s="2" t="str">
        <f aca="false">IF(C1153="","Open","Resolved")</f>
        <v>Resolved</v>
      </c>
      <c r="J1153" s="2" t="str">
        <f aca="false">TEXT(B1153,"yyyy-mm")</f>
        <v>2026-06</v>
      </c>
      <c r="K1153" s="8" t="n">
        <f aca="false">IF(C1153="","",ROUND((C1153-B1153)*24,2))</f>
        <v>9.67</v>
      </c>
      <c r="L1153" s="2" t="n">
        <f aca="false">INDEX('SLA Policy'!$B$2:$B$5,MATCH(E1153,'SLA Policy'!$A$2:$A$5,0))</f>
        <v>24</v>
      </c>
      <c r="M1153" s="2" t="str">
        <f aca="false">IF(K1153="","Open",IF(K1153&lt;=L1153,"Yes","No"))</f>
        <v>Yes</v>
      </c>
    </row>
    <row r="1154" customFormat="false" ht="15" hidden="false" customHeight="false" outlineLevel="0" collapsed="false">
      <c r="A1154" s="2" t="s">
        <v>1188</v>
      </c>
      <c r="B1154" s="7" t="n">
        <v>46196.4083333333</v>
      </c>
      <c r="C1154" s="7" t="n">
        <v>46196.64375</v>
      </c>
      <c r="D1154" s="2" t="s">
        <v>31</v>
      </c>
      <c r="E1154" s="2" t="s">
        <v>23</v>
      </c>
      <c r="F1154" s="2" t="s">
        <v>28</v>
      </c>
      <c r="G1154" s="2" t="s">
        <v>33</v>
      </c>
      <c r="H1154" s="2" t="n">
        <v>4</v>
      </c>
      <c r="I1154" s="2" t="str">
        <f aca="false">IF(C1154="","Open","Resolved")</f>
        <v>Resolved</v>
      </c>
      <c r="J1154" s="2" t="str">
        <f aca="false">TEXT(B1154,"yyyy-mm")</f>
        <v>2026-06</v>
      </c>
      <c r="K1154" s="8" t="n">
        <f aca="false">IF(C1154="","",ROUND((C1154-B1154)*24,2))</f>
        <v>5.65</v>
      </c>
      <c r="L1154" s="2" t="n">
        <f aca="false">INDEX('SLA Policy'!$B$2:$B$5,MATCH(E1154,'SLA Policy'!$A$2:$A$5,0))</f>
        <v>8</v>
      </c>
      <c r="M1154" s="2" t="str">
        <f aca="false">IF(K1154="","Open",IF(K1154&lt;=L1154,"Yes","No"))</f>
        <v>Yes</v>
      </c>
    </row>
    <row r="1155" customFormat="false" ht="15" hidden="false" customHeight="false" outlineLevel="0" collapsed="false">
      <c r="A1155" s="2" t="s">
        <v>1189</v>
      </c>
      <c r="B1155" s="7" t="n">
        <v>46196.4951388889</v>
      </c>
      <c r="C1155" s="7" t="n">
        <v>46196.8118055556</v>
      </c>
      <c r="D1155" s="2" t="s">
        <v>31</v>
      </c>
      <c r="E1155" s="2" t="s">
        <v>23</v>
      </c>
      <c r="F1155" s="2" t="s">
        <v>28</v>
      </c>
      <c r="G1155" s="2" t="s">
        <v>33</v>
      </c>
      <c r="H1155" s="2" t="n">
        <v>5</v>
      </c>
      <c r="I1155" s="2" t="str">
        <f aca="false">IF(C1155="","Open","Resolved")</f>
        <v>Resolved</v>
      </c>
      <c r="J1155" s="2" t="str">
        <f aca="false">TEXT(B1155,"yyyy-mm")</f>
        <v>2026-06</v>
      </c>
      <c r="K1155" s="8" t="n">
        <f aca="false">IF(C1155="","",ROUND((C1155-B1155)*24,2))</f>
        <v>7.6</v>
      </c>
      <c r="L1155" s="2" t="n">
        <f aca="false">INDEX('SLA Policy'!$B$2:$B$5,MATCH(E1155,'SLA Policy'!$A$2:$A$5,0))</f>
        <v>8</v>
      </c>
      <c r="M1155" s="2" t="str">
        <f aca="false">IF(K1155="","Open",IF(K1155&lt;=L1155,"Yes","No"))</f>
        <v>Yes</v>
      </c>
    </row>
    <row r="1156" customFormat="false" ht="15" hidden="false" customHeight="false" outlineLevel="0" collapsed="false">
      <c r="A1156" s="2" t="s">
        <v>1190</v>
      </c>
      <c r="B1156" s="7" t="n">
        <v>46196.59375</v>
      </c>
      <c r="C1156" s="7" t="n">
        <v>46197.9131944445</v>
      </c>
      <c r="D1156" s="2" t="s">
        <v>31</v>
      </c>
      <c r="E1156" s="2" t="s">
        <v>35</v>
      </c>
      <c r="F1156" s="2" t="s">
        <v>27</v>
      </c>
      <c r="G1156" s="2" t="s">
        <v>33</v>
      </c>
      <c r="H1156" s="2" t="n">
        <v>5</v>
      </c>
      <c r="I1156" s="2" t="str">
        <f aca="false">IF(C1156="","Open","Resolved")</f>
        <v>Resolved</v>
      </c>
      <c r="J1156" s="2" t="str">
        <f aca="false">TEXT(B1156,"yyyy-mm")</f>
        <v>2026-06</v>
      </c>
      <c r="K1156" s="8" t="n">
        <f aca="false">IF(C1156="","",ROUND((C1156-B1156)*24,2))</f>
        <v>31.67</v>
      </c>
      <c r="L1156" s="2" t="n">
        <f aca="false">INDEX('SLA Policy'!$B$2:$B$5,MATCH(E1156,'SLA Policy'!$A$2:$A$5,0))</f>
        <v>24</v>
      </c>
      <c r="M1156" s="2" t="str">
        <f aca="false">IF(K1156="","Open",IF(K1156&lt;=L1156,"Yes","No"))</f>
        <v>No</v>
      </c>
    </row>
    <row r="1157" customFormat="false" ht="15" hidden="false" customHeight="false" outlineLevel="0" collapsed="false">
      <c r="A1157" s="2" t="s">
        <v>1191</v>
      </c>
      <c r="B1157" s="7" t="n">
        <v>46196.6368055556</v>
      </c>
      <c r="C1157" s="7" t="n">
        <v>46197.1479166667</v>
      </c>
      <c r="D1157" s="2" t="s">
        <v>22</v>
      </c>
      <c r="E1157" s="2" t="s">
        <v>35</v>
      </c>
      <c r="F1157" s="2" t="s">
        <v>24</v>
      </c>
      <c r="G1157" s="2" t="s">
        <v>25</v>
      </c>
      <c r="H1157" s="2" t="n">
        <v>5</v>
      </c>
      <c r="I1157" s="2" t="str">
        <f aca="false">IF(C1157="","Open","Resolved")</f>
        <v>Resolved</v>
      </c>
      <c r="J1157" s="2" t="str">
        <f aca="false">TEXT(B1157,"yyyy-mm")</f>
        <v>2026-06</v>
      </c>
      <c r="K1157" s="8" t="n">
        <f aca="false">IF(C1157="","",ROUND((C1157-B1157)*24,2))</f>
        <v>12.27</v>
      </c>
      <c r="L1157" s="2" t="n">
        <f aca="false">INDEX('SLA Policy'!$B$2:$B$5,MATCH(E1157,'SLA Policy'!$A$2:$A$5,0))</f>
        <v>24</v>
      </c>
      <c r="M1157" s="2" t="str">
        <f aca="false">IF(K1157="","Open",IF(K1157&lt;=L1157,"Yes","No"))</f>
        <v>Yes</v>
      </c>
    </row>
    <row r="1158" customFormat="false" ht="15" hidden="false" customHeight="false" outlineLevel="0" collapsed="false">
      <c r="A1158" s="2" t="s">
        <v>1192</v>
      </c>
      <c r="B1158" s="7" t="n">
        <v>46196.78125</v>
      </c>
      <c r="C1158" s="7" t="n">
        <v>46198.0986111111</v>
      </c>
      <c r="D1158" s="2" t="s">
        <v>48</v>
      </c>
      <c r="E1158" s="2" t="s">
        <v>32</v>
      </c>
      <c r="F1158" s="2" t="s">
        <v>27</v>
      </c>
      <c r="G1158" s="2" t="s">
        <v>25</v>
      </c>
      <c r="H1158" s="2" t="n">
        <v>4</v>
      </c>
      <c r="I1158" s="2" t="str">
        <f aca="false">IF(C1158="","Open","Resolved")</f>
        <v>Resolved</v>
      </c>
      <c r="J1158" s="2" t="str">
        <f aca="false">TEXT(B1158,"yyyy-mm")</f>
        <v>2026-06</v>
      </c>
      <c r="K1158" s="8" t="n">
        <f aca="false">IF(C1158="","",ROUND((C1158-B1158)*24,2))</f>
        <v>31.62</v>
      </c>
      <c r="L1158" s="2" t="n">
        <f aca="false">INDEX('SLA Policy'!$B$2:$B$5,MATCH(E1158,'SLA Policy'!$A$2:$A$5,0))</f>
        <v>72</v>
      </c>
      <c r="M1158" s="2" t="str">
        <f aca="false">IF(K1158="","Open",IF(K1158&lt;=L1158,"Yes","No"))</f>
        <v>Yes</v>
      </c>
    </row>
    <row r="1159" customFormat="false" ht="15" hidden="false" customHeight="false" outlineLevel="0" collapsed="false">
      <c r="A1159" s="2" t="s">
        <v>1193</v>
      </c>
      <c r="B1159" s="7" t="n">
        <v>46197.3083333333</v>
      </c>
      <c r="C1159" s="7"/>
      <c r="D1159" s="2" t="s">
        <v>42</v>
      </c>
      <c r="E1159" s="2" t="s">
        <v>35</v>
      </c>
      <c r="F1159" s="2" t="s">
        <v>38</v>
      </c>
      <c r="G1159" s="2" t="s">
        <v>29</v>
      </c>
      <c r="H1159" s="2"/>
      <c r="I1159" s="2" t="str">
        <f aca="false">IF(C1159="","Open","Resolved")</f>
        <v>Open</v>
      </c>
      <c r="J1159" s="2" t="str">
        <f aca="false">TEXT(B1159,"yyyy-mm")</f>
        <v>2026-06</v>
      </c>
      <c r="K1159" s="8" t="str">
        <f aca="false">IF(C1159="","",ROUND((C1159-B1159)*24,2))</f>
        <v/>
      </c>
      <c r="L1159" s="2" t="n">
        <f aca="false">INDEX('SLA Policy'!$B$2:$B$5,MATCH(E1159,'SLA Policy'!$A$2:$A$5,0))</f>
        <v>24</v>
      </c>
      <c r="M1159" s="2" t="str">
        <f aca="false">IF(K1159="","Open",IF(K1159&lt;=L1159,"Yes","No"))</f>
        <v>Open</v>
      </c>
    </row>
    <row r="1160" customFormat="false" ht="15" hidden="false" customHeight="false" outlineLevel="0" collapsed="false">
      <c r="A1160" s="2" t="s">
        <v>1194</v>
      </c>
      <c r="B1160" s="7" t="n">
        <v>46197.3465277778</v>
      </c>
      <c r="C1160" s="7" t="n">
        <v>46197.7923611111</v>
      </c>
      <c r="D1160" s="2" t="s">
        <v>42</v>
      </c>
      <c r="E1160" s="2" t="s">
        <v>35</v>
      </c>
      <c r="F1160" s="2" t="s">
        <v>27</v>
      </c>
      <c r="G1160" s="2" t="s">
        <v>29</v>
      </c>
      <c r="H1160" s="2" t="n">
        <v>4</v>
      </c>
      <c r="I1160" s="2" t="str">
        <f aca="false">IF(C1160="","Open","Resolved")</f>
        <v>Resolved</v>
      </c>
      <c r="J1160" s="2" t="str">
        <f aca="false">TEXT(B1160,"yyyy-mm")</f>
        <v>2026-06</v>
      </c>
      <c r="K1160" s="8" t="n">
        <f aca="false">IF(C1160="","",ROUND((C1160-B1160)*24,2))</f>
        <v>10.7</v>
      </c>
      <c r="L1160" s="2" t="n">
        <f aca="false">INDEX('SLA Policy'!$B$2:$B$5,MATCH(E1160,'SLA Policy'!$A$2:$A$5,0))</f>
        <v>24</v>
      </c>
      <c r="M1160" s="2" t="str">
        <f aca="false">IF(K1160="","Open",IF(K1160&lt;=L1160,"Yes","No"))</f>
        <v>Yes</v>
      </c>
    </row>
    <row r="1161" customFormat="false" ht="15" hidden="false" customHeight="false" outlineLevel="0" collapsed="false">
      <c r="A1161" s="2" t="s">
        <v>1195</v>
      </c>
      <c r="B1161" s="7" t="n">
        <v>46197.3708333333</v>
      </c>
      <c r="C1161" s="7" t="n">
        <v>46198.1097222222</v>
      </c>
      <c r="D1161" s="2" t="s">
        <v>42</v>
      </c>
      <c r="E1161" s="2" t="s">
        <v>32</v>
      </c>
      <c r="F1161" s="2" t="s">
        <v>24</v>
      </c>
      <c r="G1161" s="2" t="s">
        <v>29</v>
      </c>
      <c r="H1161" s="2" t="n">
        <v>5</v>
      </c>
      <c r="I1161" s="2" t="str">
        <f aca="false">IF(C1161="","Open","Resolved")</f>
        <v>Resolved</v>
      </c>
      <c r="J1161" s="2" t="str">
        <f aca="false">TEXT(B1161,"yyyy-mm")</f>
        <v>2026-06</v>
      </c>
      <c r="K1161" s="8" t="n">
        <f aca="false">IF(C1161="","",ROUND((C1161-B1161)*24,2))</f>
        <v>17.73</v>
      </c>
      <c r="L1161" s="2" t="n">
        <f aca="false">INDEX('SLA Policy'!$B$2:$B$5,MATCH(E1161,'SLA Policy'!$A$2:$A$5,0))</f>
        <v>72</v>
      </c>
      <c r="M1161" s="2" t="str">
        <f aca="false">IF(K1161="","Open",IF(K1161&lt;=L1161,"Yes","No"))</f>
        <v>Yes</v>
      </c>
    </row>
    <row r="1162" customFormat="false" ht="15" hidden="false" customHeight="false" outlineLevel="0" collapsed="false">
      <c r="A1162" s="2" t="s">
        <v>1196</v>
      </c>
      <c r="B1162" s="7" t="n">
        <v>46197.5638888889</v>
      </c>
      <c r="C1162" s="7"/>
      <c r="D1162" s="2" t="s">
        <v>42</v>
      </c>
      <c r="E1162" s="2" t="s">
        <v>35</v>
      </c>
      <c r="F1162" s="2" t="s">
        <v>38</v>
      </c>
      <c r="G1162" s="2" t="s">
        <v>29</v>
      </c>
      <c r="H1162" s="2"/>
      <c r="I1162" s="2" t="str">
        <f aca="false">IF(C1162="","Open","Resolved")</f>
        <v>Open</v>
      </c>
      <c r="J1162" s="2" t="str">
        <f aca="false">TEXT(B1162,"yyyy-mm")</f>
        <v>2026-06</v>
      </c>
      <c r="K1162" s="8" t="str">
        <f aca="false">IF(C1162="","",ROUND((C1162-B1162)*24,2))</f>
        <v/>
      </c>
      <c r="L1162" s="2" t="n">
        <f aca="false">INDEX('SLA Policy'!$B$2:$B$5,MATCH(E1162,'SLA Policy'!$A$2:$A$5,0))</f>
        <v>24</v>
      </c>
      <c r="M1162" s="2" t="str">
        <f aca="false">IF(K1162="","Open",IF(K1162&lt;=L1162,"Yes","No"))</f>
        <v>Open</v>
      </c>
    </row>
    <row r="1163" customFormat="false" ht="15" hidden="false" customHeight="false" outlineLevel="0" collapsed="false">
      <c r="A1163" s="2" t="s">
        <v>1197</v>
      </c>
      <c r="B1163" s="7" t="n">
        <v>46197.7416666667</v>
      </c>
      <c r="C1163" s="7"/>
      <c r="D1163" s="2" t="s">
        <v>27</v>
      </c>
      <c r="E1163" s="2" t="s">
        <v>40</v>
      </c>
      <c r="F1163" s="2" t="s">
        <v>24</v>
      </c>
      <c r="G1163" s="2" t="s">
        <v>29</v>
      </c>
      <c r="H1163" s="2"/>
      <c r="I1163" s="2" t="str">
        <f aca="false">IF(C1163="","Open","Resolved")</f>
        <v>Open</v>
      </c>
      <c r="J1163" s="2" t="str">
        <f aca="false">TEXT(B1163,"yyyy-mm")</f>
        <v>2026-06</v>
      </c>
      <c r="K1163" s="8" t="str">
        <f aca="false">IF(C1163="","",ROUND((C1163-B1163)*24,2))</f>
        <v/>
      </c>
      <c r="L1163" s="2" t="n">
        <f aca="false">INDEX('SLA Policy'!$B$2:$B$5,MATCH(E1163,'SLA Policy'!$A$2:$A$5,0))</f>
        <v>4</v>
      </c>
      <c r="M1163" s="2" t="str">
        <f aca="false">IF(K1163="","Open",IF(K1163&lt;=L1163,"Yes","No"))</f>
        <v>Open</v>
      </c>
    </row>
    <row r="1164" customFormat="false" ht="15" hidden="false" customHeight="false" outlineLevel="0" collapsed="false">
      <c r="A1164" s="2" t="s">
        <v>1198</v>
      </c>
      <c r="B1164" s="7" t="n">
        <v>46198.3673611111</v>
      </c>
      <c r="C1164" s="7"/>
      <c r="D1164" s="2" t="s">
        <v>42</v>
      </c>
      <c r="E1164" s="2" t="s">
        <v>35</v>
      </c>
      <c r="F1164" s="2" t="s">
        <v>27</v>
      </c>
      <c r="G1164" s="2" t="s">
        <v>29</v>
      </c>
      <c r="H1164" s="2"/>
      <c r="I1164" s="2" t="str">
        <f aca="false">IF(C1164="","Open","Resolved")</f>
        <v>Open</v>
      </c>
      <c r="J1164" s="2" t="str">
        <f aca="false">TEXT(B1164,"yyyy-mm")</f>
        <v>2026-06</v>
      </c>
      <c r="K1164" s="8" t="str">
        <f aca="false">IF(C1164="","",ROUND((C1164-B1164)*24,2))</f>
        <v/>
      </c>
      <c r="L1164" s="2" t="n">
        <f aca="false">INDEX('SLA Policy'!$B$2:$B$5,MATCH(E1164,'SLA Policy'!$A$2:$A$5,0))</f>
        <v>24</v>
      </c>
      <c r="M1164" s="2" t="str">
        <f aca="false">IF(K1164="","Open",IF(K1164&lt;=L1164,"Yes","No"))</f>
        <v>Open</v>
      </c>
    </row>
    <row r="1165" customFormat="false" ht="15" hidden="false" customHeight="false" outlineLevel="0" collapsed="false">
      <c r="A1165" s="2" t="s">
        <v>1199</v>
      </c>
      <c r="B1165" s="7" t="n">
        <v>46198.3986111111</v>
      </c>
      <c r="C1165" s="7"/>
      <c r="D1165" s="2" t="s">
        <v>42</v>
      </c>
      <c r="E1165" s="2" t="s">
        <v>35</v>
      </c>
      <c r="F1165" s="2" t="s">
        <v>38</v>
      </c>
      <c r="G1165" s="2" t="s">
        <v>29</v>
      </c>
      <c r="H1165" s="2"/>
      <c r="I1165" s="2" t="str">
        <f aca="false">IF(C1165="","Open","Resolved")</f>
        <v>Open</v>
      </c>
      <c r="J1165" s="2" t="str">
        <f aca="false">TEXT(B1165,"yyyy-mm")</f>
        <v>2026-06</v>
      </c>
      <c r="K1165" s="8" t="str">
        <f aca="false">IF(C1165="","",ROUND((C1165-B1165)*24,2))</f>
        <v/>
      </c>
      <c r="L1165" s="2" t="n">
        <f aca="false">INDEX('SLA Policy'!$B$2:$B$5,MATCH(E1165,'SLA Policy'!$A$2:$A$5,0))</f>
        <v>24</v>
      </c>
      <c r="M1165" s="2" t="str">
        <f aca="false">IF(K1165="","Open",IF(K1165&lt;=L1165,"Yes","No"))</f>
        <v>Open</v>
      </c>
    </row>
    <row r="1166" customFormat="false" ht="15" hidden="false" customHeight="false" outlineLevel="0" collapsed="false">
      <c r="A1166" s="2" t="s">
        <v>1200</v>
      </c>
      <c r="B1166" s="7" t="n">
        <v>46198.5520833333</v>
      </c>
      <c r="C1166" s="7"/>
      <c r="D1166" s="2" t="s">
        <v>22</v>
      </c>
      <c r="E1166" s="2" t="s">
        <v>32</v>
      </c>
      <c r="F1166" s="2" t="s">
        <v>38</v>
      </c>
      <c r="G1166" s="2" t="s">
        <v>25</v>
      </c>
      <c r="H1166" s="2"/>
      <c r="I1166" s="2" t="str">
        <f aca="false">IF(C1166="","Open","Resolved")</f>
        <v>Open</v>
      </c>
      <c r="J1166" s="2" t="str">
        <f aca="false">TEXT(B1166,"yyyy-mm")</f>
        <v>2026-06</v>
      </c>
      <c r="K1166" s="8" t="str">
        <f aca="false">IF(C1166="","",ROUND((C1166-B1166)*24,2))</f>
        <v/>
      </c>
      <c r="L1166" s="2" t="n">
        <f aca="false">INDEX('SLA Policy'!$B$2:$B$5,MATCH(E1166,'SLA Policy'!$A$2:$A$5,0))</f>
        <v>72</v>
      </c>
      <c r="M1166" s="2" t="str">
        <f aca="false">IF(K1166="","Open",IF(K1166&lt;=L1166,"Yes","No"))</f>
        <v>Open</v>
      </c>
    </row>
    <row r="1167" customFormat="false" ht="15" hidden="false" customHeight="false" outlineLevel="0" collapsed="false">
      <c r="A1167" s="2" t="s">
        <v>1201</v>
      </c>
      <c r="B1167" s="7" t="n">
        <v>46198.6590277778</v>
      </c>
      <c r="C1167" s="7"/>
      <c r="D1167" s="2" t="s">
        <v>42</v>
      </c>
      <c r="E1167" s="2" t="s">
        <v>35</v>
      </c>
      <c r="F1167" s="2" t="s">
        <v>24</v>
      </c>
      <c r="G1167" s="2" t="s">
        <v>29</v>
      </c>
      <c r="H1167" s="2"/>
      <c r="I1167" s="2" t="str">
        <f aca="false">IF(C1167="","Open","Resolved")</f>
        <v>Open</v>
      </c>
      <c r="J1167" s="2" t="str">
        <f aca="false">TEXT(B1167,"yyyy-mm")</f>
        <v>2026-06</v>
      </c>
      <c r="K1167" s="8" t="str">
        <f aca="false">IF(C1167="","",ROUND((C1167-B1167)*24,2))</f>
        <v/>
      </c>
      <c r="L1167" s="2" t="n">
        <f aca="false">INDEX('SLA Policy'!$B$2:$B$5,MATCH(E1167,'SLA Policy'!$A$2:$A$5,0))</f>
        <v>24</v>
      </c>
      <c r="M1167" s="2" t="str">
        <f aca="false">IF(K1167="","Open",IF(K1167&lt;=L1167,"Yes","No"))</f>
        <v>Open</v>
      </c>
    </row>
    <row r="1168" customFormat="false" ht="15" hidden="false" customHeight="false" outlineLevel="0" collapsed="false">
      <c r="A1168" s="2" t="s">
        <v>1202</v>
      </c>
      <c r="B1168" s="7" t="n">
        <v>46198.6722222222</v>
      </c>
      <c r="C1168" s="7" t="n">
        <v>46200.2590277778</v>
      </c>
      <c r="D1168" s="2" t="s">
        <v>31</v>
      </c>
      <c r="E1168" s="2" t="s">
        <v>32</v>
      </c>
      <c r="F1168" s="2" t="s">
        <v>38</v>
      </c>
      <c r="G1168" s="2" t="s">
        <v>33</v>
      </c>
      <c r="H1168" s="2" t="n">
        <v>4</v>
      </c>
      <c r="I1168" s="2" t="str">
        <f aca="false">IF(C1168="","Open","Resolved")</f>
        <v>Resolved</v>
      </c>
      <c r="J1168" s="2" t="str">
        <f aca="false">TEXT(B1168,"yyyy-mm")</f>
        <v>2026-06</v>
      </c>
      <c r="K1168" s="8" t="n">
        <f aca="false">IF(C1168="","",ROUND((C1168-B1168)*24,2))</f>
        <v>38.08</v>
      </c>
      <c r="L1168" s="2" t="n">
        <f aca="false">INDEX('SLA Policy'!$B$2:$B$5,MATCH(E1168,'SLA Policy'!$A$2:$A$5,0))</f>
        <v>72</v>
      </c>
      <c r="M1168" s="2" t="str">
        <f aca="false">IF(K1168="","Open",IF(K1168&lt;=L1168,"Yes","No"))</f>
        <v>Yes</v>
      </c>
    </row>
    <row r="1169" customFormat="false" ht="15" hidden="false" customHeight="false" outlineLevel="0" collapsed="false">
      <c r="A1169" s="2" t="s">
        <v>1203</v>
      </c>
      <c r="B1169" s="7" t="n">
        <v>46199.3548611111</v>
      </c>
      <c r="C1169" s="7" t="n">
        <v>46199.7090277778</v>
      </c>
      <c r="D1169" s="2" t="s">
        <v>42</v>
      </c>
      <c r="E1169" s="2" t="s">
        <v>35</v>
      </c>
      <c r="F1169" s="2" t="s">
        <v>24</v>
      </c>
      <c r="G1169" s="2" t="s">
        <v>29</v>
      </c>
      <c r="H1169" s="2" t="n">
        <v>5</v>
      </c>
      <c r="I1169" s="2" t="str">
        <f aca="false">IF(C1169="","Open","Resolved")</f>
        <v>Resolved</v>
      </c>
      <c r="J1169" s="2" t="str">
        <f aca="false">TEXT(B1169,"yyyy-mm")</f>
        <v>2026-06</v>
      </c>
      <c r="K1169" s="8" t="n">
        <f aca="false">IF(C1169="","",ROUND((C1169-B1169)*24,2))</f>
        <v>8.5</v>
      </c>
      <c r="L1169" s="2" t="n">
        <f aca="false">INDEX('SLA Policy'!$B$2:$B$5,MATCH(E1169,'SLA Policy'!$A$2:$A$5,0))</f>
        <v>24</v>
      </c>
      <c r="M1169" s="2" t="str">
        <f aca="false">IF(K1169="","Open",IF(K1169&lt;=L1169,"Yes","No"))</f>
        <v>Yes</v>
      </c>
    </row>
    <row r="1170" customFormat="false" ht="15" hidden="false" customHeight="false" outlineLevel="0" collapsed="false">
      <c r="A1170" s="2" t="s">
        <v>1204</v>
      </c>
      <c r="B1170" s="7" t="n">
        <v>46199.4173611111</v>
      </c>
      <c r="C1170" s="7" t="n">
        <v>46200.2875</v>
      </c>
      <c r="D1170" s="2" t="s">
        <v>27</v>
      </c>
      <c r="E1170" s="2" t="s">
        <v>35</v>
      </c>
      <c r="F1170" s="2" t="s">
        <v>24</v>
      </c>
      <c r="G1170" s="2" t="s">
        <v>29</v>
      </c>
      <c r="H1170" s="2" t="n">
        <v>4</v>
      </c>
      <c r="I1170" s="2" t="str">
        <f aca="false">IF(C1170="","Open","Resolved")</f>
        <v>Resolved</v>
      </c>
      <c r="J1170" s="2" t="str">
        <f aca="false">TEXT(B1170,"yyyy-mm")</f>
        <v>2026-06</v>
      </c>
      <c r="K1170" s="8" t="n">
        <f aca="false">IF(C1170="","",ROUND((C1170-B1170)*24,2))</f>
        <v>20.88</v>
      </c>
      <c r="L1170" s="2" t="n">
        <f aca="false">INDEX('SLA Policy'!$B$2:$B$5,MATCH(E1170,'SLA Policy'!$A$2:$A$5,0))</f>
        <v>24</v>
      </c>
      <c r="M1170" s="2" t="str">
        <f aca="false">IF(K1170="","Open",IF(K1170&lt;=L1170,"Yes","No"))</f>
        <v>Yes</v>
      </c>
    </row>
    <row r="1171" customFormat="false" ht="15" hidden="false" customHeight="false" outlineLevel="0" collapsed="false">
      <c r="A1171" s="2" t="s">
        <v>1205</v>
      </c>
      <c r="B1171" s="7" t="n">
        <v>46199.4798611111</v>
      </c>
      <c r="C1171" s="7"/>
      <c r="D1171" s="2" t="s">
        <v>42</v>
      </c>
      <c r="E1171" s="2" t="s">
        <v>35</v>
      </c>
      <c r="F1171" s="2" t="s">
        <v>24</v>
      </c>
      <c r="G1171" s="2" t="s">
        <v>29</v>
      </c>
      <c r="H1171" s="2"/>
      <c r="I1171" s="2" t="str">
        <f aca="false">IF(C1171="","Open","Resolved")</f>
        <v>Open</v>
      </c>
      <c r="J1171" s="2" t="str">
        <f aca="false">TEXT(B1171,"yyyy-mm")</f>
        <v>2026-06</v>
      </c>
      <c r="K1171" s="8" t="str">
        <f aca="false">IF(C1171="","",ROUND((C1171-B1171)*24,2))</f>
        <v/>
      </c>
      <c r="L1171" s="2" t="n">
        <f aca="false">INDEX('SLA Policy'!$B$2:$B$5,MATCH(E1171,'SLA Policy'!$A$2:$A$5,0))</f>
        <v>24</v>
      </c>
      <c r="M1171" s="2" t="str">
        <f aca="false">IF(K1171="","Open",IF(K1171&lt;=L1171,"Yes","No"))</f>
        <v>Open</v>
      </c>
    </row>
    <row r="1172" customFormat="false" ht="15" hidden="false" customHeight="false" outlineLevel="0" collapsed="false">
      <c r="A1172" s="2" t="s">
        <v>1206</v>
      </c>
      <c r="B1172" s="7" t="n">
        <v>46199.4902777778</v>
      </c>
      <c r="C1172" s="7"/>
      <c r="D1172" s="2" t="s">
        <v>31</v>
      </c>
      <c r="E1172" s="2" t="s">
        <v>32</v>
      </c>
      <c r="F1172" s="2" t="s">
        <v>27</v>
      </c>
      <c r="G1172" s="2" t="s">
        <v>33</v>
      </c>
      <c r="H1172" s="2"/>
      <c r="I1172" s="2" t="str">
        <f aca="false">IF(C1172="","Open","Resolved")</f>
        <v>Open</v>
      </c>
      <c r="J1172" s="2" t="str">
        <f aca="false">TEXT(B1172,"yyyy-mm")</f>
        <v>2026-06</v>
      </c>
      <c r="K1172" s="8" t="str">
        <f aca="false">IF(C1172="","",ROUND((C1172-B1172)*24,2))</f>
        <v/>
      </c>
      <c r="L1172" s="2" t="n">
        <f aca="false">INDEX('SLA Policy'!$B$2:$B$5,MATCH(E1172,'SLA Policy'!$A$2:$A$5,0))</f>
        <v>72</v>
      </c>
      <c r="M1172" s="2" t="str">
        <f aca="false">IF(K1172="","Open",IF(K1172&lt;=L1172,"Yes","No"))</f>
        <v>Open</v>
      </c>
    </row>
    <row r="1173" customFormat="false" ht="15" hidden="false" customHeight="false" outlineLevel="0" collapsed="false">
      <c r="A1173" s="2" t="s">
        <v>1207</v>
      </c>
      <c r="B1173" s="7" t="n">
        <v>46199.4958333333</v>
      </c>
      <c r="C1173" s="7"/>
      <c r="D1173" s="2" t="s">
        <v>31</v>
      </c>
      <c r="E1173" s="2" t="s">
        <v>23</v>
      </c>
      <c r="F1173" s="2" t="s">
        <v>24</v>
      </c>
      <c r="G1173" s="2" t="s">
        <v>33</v>
      </c>
      <c r="H1173" s="2"/>
      <c r="I1173" s="2" t="str">
        <f aca="false">IF(C1173="","Open","Resolved")</f>
        <v>Open</v>
      </c>
      <c r="J1173" s="2" t="str">
        <f aca="false">TEXT(B1173,"yyyy-mm")</f>
        <v>2026-06</v>
      </c>
      <c r="K1173" s="8" t="str">
        <f aca="false">IF(C1173="","",ROUND((C1173-B1173)*24,2))</f>
        <v/>
      </c>
      <c r="L1173" s="2" t="n">
        <f aca="false">INDEX('SLA Policy'!$B$2:$B$5,MATCH(E1173,'SLA Policy'!$A$2:$A$5,0))</f>
        <v>8</v>
      </c>
      <c r="M1173" s="2" t="str">
        <f aca="false">IF(K1173="","Open",IF(K1173&lt;=L1173,"Yes","No"))</f>
        <v>Open</v>
      </c>
    </row>
    <row r="1174" customFormat="false" ht="15" hidden="false" customHeight="false" outlineLevel="0" collapsed="false">
      <c r="A1174" s="2" t="s">
        <v>1208</v>
      </c>
      <c r="B1174" s="7" t="n">
        <v>46199.5395833333</v>
      </c>
      <c r="C1174" s="7"/>
      <c r="D1174" s="2" t="s">
        <v>27</v>
      </c>
      <c r="E1174" s="2" t="s">
        <v>35</v>
      </c>
      <c r="F1174" s="2" t="s">
        <v>27</v>
      </c>
      <c r="G1174" s="2" t="s">
        <v>29</v>
      </c>
      <c r="H1174" s="2"/>
      <c r="I1174" s="2" t="str">
        <f aca="false">IF(C1174="","Open","Resolved")</f>
        <v>Open</v>
      </c>
      <c r="J1174" s="2" t="str">
        <f aca="false">TEXT(B1174,"yyyy-mm")</f>
        <v>2026-06</v>
      </c>
      <c r="K1174" s="8" t="str">
        <f aca="false">IF(C1174="","",ROUND((C1174-B1174)*24,2))</f>
        <v/>
      </c>
      <c r="L1174" s="2" t="n">
        <f aca="false">INDEX('SLA Policy'!$B$2:$B$5,MATCH(E1174,'SLA Policy'!$A$2:$A$5,0))</f>
        <v>24</v>
      </c>
      <c r="M1174" s="2" t="str">
        <f aca="false">IF(K1174="","Open",IF(K1174&lt;=L1174,"Yes","No"))</f>
        <v>Open</v>
      </c>
    </row>
    <row r="1175" customFormat="false" ht="15" hidden="false" customHeight="false" outlineLevel="0" collapsed="false">
      <c r="A1175" s="2" t="s">
        <v>1209</v>
      </c>
      <c r="B1175" s="7" t="n">
        <v>46199.5763888889</v>
      </c>
      <c r="C1175" s="7" t="n">
        <v>46199.8770833333</v>
      </c>
      <c r="D1175" s="2" t="s">
        <v>42</v>
      </c>
      <c r="E1175" s="2" t="s">
        <v>35</v>
      </c>
      <c r="F1175" s="2" t="s">
        <v>38</v>
      </c>
      <c r="G1175" s="2" t="s">
        <v>29</v>
      </c>
      <c r="H1175" s="2" t="n">
        <v>5</v>
      </c>
      <c r="I1175" s="2" t="str">
        <f aca="false">IF(C1175="","Open","Resolved")</f>
        <v>Resolved</v>
      </c>
      <c r="J1175" s="2" t="str">
        <f aca="false">TEXT(B1175,"yyyy-mm")</f>
        <v>2026-06</v>
      </c>
      <c r="K1175" s="8" t="n">
        <f aca="false">IF(C1175="","",ROUND((C1175-B1175)*24,2))</f>
        <v>7.22</v>
      </c>
      <c r="L1175" s="2" t="n">
        <f aca="false">INDEX('SLA Policy'!$B$2:$B$5,MATCH(E1175,'SLA Policy'!$A$2:$A$5,0))</f>
        <v>24</v>
      </c>
      <c r="M1175" s="2" t="str">
        <f aca="false">IF(K1175="","Open",IF(K1175&lt;=L1175,"Yes","No"))</f>
        <v>Yes</v>
      </c>
    </row>
    <row r="1176" customFormat="false" ht="15" hidden="false" customHeight="false" outlineLevel="0" collapsed="false">
      <c r="A1176" s="2" t="s">
        <v>1210</v>
      </c>
      <c r="B1176" s="7" t="n">
        <v>46199.6034722222</v>
      </c>
      <c r="C1176" s="7" t="n">
        <v>46199.8784722222</v>
      </c>
      <c r="D1176" s="2" t="s">
        <v>42</v>
      </c>
      <c r="E1176" s="2" t="s">
        <v>35</v>
      </c>
      <c r="F1176" s="2" t="s">
        <v>38</v>
      </c>
      <c r="G1176" s="2" t="s">
        <v>29</v>
      </c>
      <c r="H1176" s="2" t="n">
        <v>3</v>
      </c>
      <c r="I1176" s="2" t="str">
        <f aca="false">IF(C1176="","Open","Resolved")</f>
        <v>Resolved</v>
      </c>
      <c r="J1176" s="2" t="str">
        <f aca="false">TEXT(B1176,"yyyy-mm")</f>
        <v>2026-06</v>
      </c>
      <c r="K1176" s="8" t="n">
        <f aca="false">IF(C1176="","",ROUND((C1176-B1176)*24,2))</f>
        <v>6.6</v>
      </c>
      <c r="L1176" s="2" t="n">
        <f aca="false">INDEX('SLA Policy'!$B$2:$B$5,MATCH(E1176,'SLA Policy'!$A$2:$A$5,0))</f>
        <v>24</v>
      </c>
      <c r="M1176" s="2" t="str">
        <f aca="false">IF(K1176="","Open",IF(K1176&lt;=L1176,"Yes","No"))</f>
        <v>Yes</v>
      </c>
    </row>
    <row r="1177" customFormat="false" ht="15" hidden="false" customHeight="false" outlineLevel="0" collapsed="false">
      <c r="A1177" s="2" t="s">
        <v>1211</v>
      </c>
      <c r="B1177" s="7" t="n">
        <v>46199.7270833333</v>
      </c>
      <c r="C1177" s="7"/>
      <c r="D1177" s="2" t="s">
        <v>31</v>
      </c>
      <c r="E1177" s="2" t="s">
        <v>35</v>
      </c>
      <c r="F1177" s="2" t="s">
        <v>24</v>
      </c>
      <c r="G1177" s="2" t="s">
        <v>33</v>
      </c>
      <c r="H1177" s="2"/>
      <c r="I1177" s="2" t="str">
        <f aca="false">IF(C1177="","Open","Resolved")</f>
        <v>Open</v>
      </c>
      <c r="J1177" s="2" t="str">
        <f aca="false">TEXT(B1177,"yyyy-mm")</f>
        <v>2026-06</v>
      </c>
      <c r="K1177" s="8" t="str">
        <f aca="false">IF(C1177="","",ROUND((C1177-B1177)*24,2))</f>
        <v/>
      </c>
      <c r="L1177" s="2" t="n">
        <f aca="false">INDEX('SLA Policy'!$B$2:$B$5,MATCH(E1177,'SLA Policy'!$A$2:$A$5,0))</f>
        <v>24</v>
      </c>
      <c r="M1177" s="2" t="str">
        <f aca="false">IF(K1177="","Open",IF(K1177&lt;=L1177,"Yes","No"))</f>
        <v>Open</v>
      </c>
    </row>
    <row r="1178" customFormat="false" ht="15" hidden="false" customHeight="false" outlineLevel="0" collapsed="false">
      <c r="A1178" s="2" t="s">
        <v>1212</v>
      </c>
      <c r="B1178" s="7" t="n">
        <v>46199.7888888889</v>
      </c>
      <c r="C1178" s="7"/>
      <c r="D1178" s="2" t="s">
        <v>31</v>
      </c>
      <c r="E1178" s="2" t="s">
        <v>32</v>
      </c>
      <c r="F1178" s="2" t="s">
        <v>24</v>
      </c>
      <c r="G1178" s="2" t="s">
        <v>33</v>
      </c>
      <c r="H1178" s="2"/>
      <c r="I1178" s="2" t="str">
        <f aca="false">IF(C1178="","Open","Resolved")</f>
        <v>Open</v>
      </c>
      <c r="J1178" s="2" t="str">
        <f aca="false">TEXT(B1178,"yyyy-mm")</f>
        <v>2026-06</v>
      </c>
      <c r="K1178" s="8" t="str">
        <f aca="false">IF(C1178="","",ROUND((C1178-B1178)*24,2))</f>
        <v/>
      </c>
      <c r="L1178" s="2" t="n">
        <f aca="false">INDEX('SLA Policy'!$B$2:$B$5,MATCH(E1178,'SLA Policy'!$A$2:$A$5,0))</f>
        <v>72</v>
      </c>
      <c r="M1178" s="2" t="str">
        <f aca="false">IF(K1178="","Open",IF(K1178&lt;=L1178,"Yes","No"))</f>
        <v>Open</v>
      </c>
    </row>
    <row r="1179" customFormat="false" ht="15" hidden="false" customHeight="false" outlineLevel="0" collapsed="false">
      <c r="A1179" s="2" t="s">
        <v>1213</v>
      </c>
      <c r="B1179" s="7" t="n">
        <v>46200.4125</v>
      </c>
      <c r="C1179" s="7" t="n">
        <v>46201.5006944445</v>
      </c>
      <c r="D1179" s="2" t="s">
        <v>48</v>
      </c>
      <c r="E1179" s="2" t="s">
        <v>35</v>
      </c>
      <c r="F1179" s="2" t="s">
        <v>24</v>
      </c>
      <c r="G1179" s="2" t="s">
        <v>25</v>
      </c>
      <c r="H1179" s="2" t="n">
        <v>4</v>
      </c>
      <c r="I1179" s="2" t="str">
        <f aca="false">IF(C1179="","Open","Resolved")</f>
        <v>Resolved</v>
      </c>
      <c r="J1179" s="2" t="str">
        <f aca="false">TEXT(B1179,"yyyy-mm")</f>
        <v>2026-06</v>
      </c>
      <c r="K1179" s="8" t="n">
        <f aca="false">IF(C1179="","",ROUND((C1179-B1179)*24,2))</f>
        <v>26.12</v>
      </c>
      <c r="L1179" s="2" t="n">
        <f aca="false">INDEX('SLA Policy'!$B$2:$B$5,MATCH(E1179,'SLA Policy'!$A$2:$A$5,0))</f>
        <v>24</v>
      </c>
      <c r="M1179" s="2" t="str">
        <f aca="false">IF(K1179="","Open",IF(K1179&lt;=L1179,"Yes","No"))</f>
        <v>No</v>
      </c>
    </row>
    <row r="1180" customFormat="false" ht="15" hidden="false" customHeight="false" outlineLevel="0" collapsed="false">
      <c r="A1180" s="2" t="s">
        <v>1214</v>
      </c>
      <c r="B1180" s="7" t="n">
        <v>46200.4923611111</v>
      </c>
      <c r="C1180" s="7"/>
      <c r="D1180" s="2" t="s">
        <v>31</v>
      </c>
      <c r="E1180" s="2" t="s">
        <v>32</v>
      </c>
      <c r="F1180" s="2" t="s">
        <v>27</v>
      </c>
      <c r="G1180" s="2" t="s">
        <v>33</v>
      </c>
      <c r="H1180" s="2"/>
      <c r="I1180" s="2" t="str">
        <f aca="false">IF(C1180="","Open","Resolved")</f>
        <v>Open</v>
      </c>
      <c r="J1180" s="2" t="str">
        <f aca="false">TEXT(B1180,"yyyy-mm")</f>
        <v>2026-06</v>
      </c>
      <c r="K1180" s="8" t="str">
        <f aca="false">IF(C1180="","",ROUND((C1180-B1180)*24,2))</f>
        <v/>
      </c>
      <c r="L1180" s="2" t="n">
        <f aca="false">INDEX('SLA Policy'!$B$2:$B$5,MATCH(E1180,'SLA Policy'!$A$2:$A$5,0))</f>
        <v>72</v>
      </c>
      <c r="M1180" s="2" t="str">
        <f aca="false">IF(K1180="","Open",IF(K1180&lt;=L1180,"Yes","No"))</f>
        <v>Open</v>
      </c>
    </row>
    <row r="1181" customFormat="false" ht="15" hidden="false" customHeight="false" outlineLevel="0" collapsed="false">
      <c r="A1181" s="2" t="s">
        <v>1215</v>
      </c>
      <c r="B1181" s="7" t="n">
        <v>46200.5986111111</v>
      </c>
      <c r="C1181" s="7"/>
      <c r="D1181" s="2" t="s">
        <v>22</v>
      </c>
      <c r="E1181" s="2" t="s">
        <v>32</v>
      </c>
      <c r="F1181" s="2" t="s">
        <v>24</v>
      </c>
      <c r="G1181" s="2" t="s">
        <v>25</v>
      </c>
      <c r="H1181" s="2"/>
      <c r="I1181" s="2" t="str">
        <f aca="false">IF(C1181="","Open","Resolved")</f>
        <v>Open</v>
      </c>
      <c r="J1181" s="2" t="str">
        <f aca="false">TEXT(B1181,"yyyy-mm")</f>
        <v>2026-06</v>
      </c>
      <c r="K1181" s="8" t="str">
        <f aca="false">IF(C1181="","",ROUND((C1181-B1181)*24,2))</f>
        <v/>
      </c>
      <c r="L1181" s="2" t="n">
        <f aca="false">INDEX('SLA Policy'!$B$2:$B$5,MATCH(E1181,'SLA Policy'!$A$2:$A$5,0))</f>
        <v>72</v>
      </c>
      <c r="M1181" s="2" t="str">
        <f aca="false">IF(K1181="","Open",IF(K1181&lt;=L1181,"Yes","No"))</f>
        <v>Open</v>
      </c>
    </row>
    <row r="1182" customFormat="false" ht="15" hidden="false" customHeight="false" outlineLevel="0" collapsed="false">
      <c r="A1182" s="2" t="s">
        <v>1216</v>
      </c>
      <c r="B1182" s="7" t="n">
        <v>46200.6541666667</v>
      </c>
      <c r="C1182" s="7" t="n">
        <v>46201.0847222222</v>
      </c>
      <c r="D1182" s="2" t="s">
        <v>42</v>
      </c>
      <c r="E1182" s="2" t="s">
        <v>23</v>
      </c>
      <c r="F1182" s="2" t="s">
        <v>27</v>
      </c>
      <c r="G1182" s="2" t="s">
        <v>29</v>
      </c>
      <c r="H1182" s="2" t="n">
        <v>4</v>
      </c>
      <c r="I1182" s="2" t="str">
        <f aca="false">IF(C1182="","Open","Resolved")</f>
        <v>Resolved</v>
      </c>
      <c r="J1182" s="2" t="str">
        <f aca="false">TEXT(B1182,"yyyy-mm")</f>
        <v>2026-06</v>
      </c>
      <c r="K1182" s="8" t="n">
        <f aca="false">IF(C1182="","",ROUND((C1182-B1182)*24,2))</f>
        <v>10.33</v>
      </c>
      <c r="L1182" s="2" t="n">
        <f aca="false">INDEX('SLA Policy'!$B$2:$B$5,MATCH(E1182,'SLA Policy'!$A$2:$A$5,0))</f>
        <v>8</v>
      </c>
      <c r="M1182" s="2" t="str">
        <f aca="false">IF(K1182="","Open",IF(K1182&lt;=L1182,"Yes","No"))</f>
        <v>No</v>
      </c>
    </row>
    <row r="1183" customFormat="false" ht="15" hidden="false" customHeight="false" outlineLevel="0" collapsed="false">
      <c r="A1183" s="2" t="s">
        <v>1217</v>
      </c>
      <c r="B1183" s="7" t="n">
        <v>46201.3472222222</v>
      </c>
      <c r="C1183" s="7"/>
      <c r="D1183" s="2" t="s">
        <v>42</v>
      </c>
      <c r="E1183" s="2" t="s">
        <v>32</v>
      </c>
      <c r="F1183" s="2" t="s">
        <v>28</v>
      </c>
      <c r="G1183" s="2" t="s">
        <v>29</v>
      </c>
      <c r="H1183" s="2"/>
      <c r="I1183" s="2" t="str">
        <f aca="false">IF(C1183="","Open","Resolved")</f>
        <v>Open</v>
      </c>
      <c r="J1183" s="2" t="str">
        <f aca="false">TEXT(B1183,"yyyy-mm")</f>
        <v>2026-06</v>
      </c>
      <c r="K1183" s="8" t="str">
        <f aca="false">IF(C1183="","",ROUND((C1183-B1183)*24,2))</f>
        <v/>
      </c>
      <c r="L1183" s="2" t="n">
        <f aca="false">INDEX('SLA Policy'!$B$2:$B$5,MATCH(E1183,'SLA Policy'!$A$2:$A$5,0))</f>
        <v>72</v>
      </c>
      <c r="M1183" s="2" t="str">
        <f aca="false">IF(K1183="","Open",IF(K1183&lt;=L1183,"Yes","No"))</f>
        <v>Open</v>
      </c>
    </row>
    <row r="1184" customFormat="false" ht="15" hidden="false" customHeight="false" outlineLevel="0" collapsed="false">
      <c r="A1184" s="2" t="s">
        <v>1218</v>
      </c>
      <c r="B1184" s="7" t="n">
        <v>46202.33125</v>
      </c>
      <c r="C1184" s="7"/>
      <c r="D1184" s="2" t="s">
        <v>42</v>
      </c>
      <c r="E1184" s="2" t="s">
        <v>35</v>
      </c>
      <c r="F1184" s="2" t="s">
        <v>28</v>
      </c>
      <c r="G1184" s="2" t="s">
        <v>29</v>
      </c>
      <c r="H1184" s="2"/>
      <c r="I1184" s="2" t="str">
        <f aca="false">IF(C1184="","Open","Resolved")</f>
        <v>Open</v>
      </c>
      <c r="J1184" s="2" t="str">
        <f aca="false">TEXT(B1184,"yyyy-mm")</f>
        <v>2026-06</v>
      </c>
      <c r="K1184" s="8" t="str">
        <f aca="false">IF(C1184="","",ROUND((C1184-B1184)*24,2))</f>
        <v/>
      </c>
      <c r="L1184" s="2" t="n">
        <f aca="false">INDEX('SLA Policy'!$B$2:$B$5,MATCH(E1184,'SLA Policy'!$A$2:$A$5,0))</f>
        <v>24</v>
      </c>
      <c r="M1184" s="2" t="str">
        <f aca="false">IF(K1184="","Open",IF(K1184&lt;=L1184,"Yes","No"))</f>
        <v>Open</v>
      </c>
    </row>
    <row r="1185" customFormat="false" ht="15" hidden="false" customHeight="false" outlineLevel="0" collapsed="false">
      <c r="A1185" s="2" t="s">
        <v>1219</v>
      </c>
      <c r="B1185" s="7" t="n">
        <v>46202.3604166667</v>
      </c>
      <c r="C1185" s="7" t="n">
        <v>46202.5229166667</v>
      </c>
      <c r="D1185" s="2" t="s">
        <v>48</v>
      </c>
      <c r="E1185" s="2" t="s">
        <v>40</v>
      </c>
      <c r="F1185" s="2" t="s">
        <v>27</v>
      </c>
      <c r="G1185" s="2" t="s">
        <v>25</v>
      </c>
      <c r="H1185" s="2" t="n">
        <v>5</v>
      </c>
      <c r="I1185" s="2" t="str">
        <f aca="false">IF(C1185="","Open","Resolved")</f>
        <v>Resolved</v>
      </c>
      <c r="J1185" s="2" t="str">
        <f aca="false">TEXT(B1185,"yyyy-mm")</f>
        <v>2026-06</v>
      </c>
      <c r="K1185" s="8" t="n">
        <f aca="false">IF(C1185="","",ROUND((C1185-B1185)*24,2))</f>
        <v>3.9</v>
      </c>
      <c r="L1185" s="2" t="n">
        <f aca="false">INDEX('SLA Policy'!$B$2:$B$5,MATCH(E1185,'SLA Policy'!$A$2:$A$5,0))</f>
        <v>4</v>
      </c>
      <c r="M1185" s="2" t="str">
        <f aca="false">IF(K1185="","Open",IF(K1185&lt;=L1185,"Yes","No"))</f>
        <v>Yes</v>
      </c>
    </row>
    <row r="1186" customFormat="false" ht="15" hidden="false" customHeight="false" outlineLevel="0" collapsed="false">
      <c r="A1186" s="2" t="s">
        <v>1220</v>
      </c>
      <c r="B1186" s="7" t="n">
        <v>46202.3881944444</v>
      </c>
      <c r="C1186" s="7" t="n">
        <v>46205.7451388889</v>
      </c>
      <c r="D1186" s="2" t="s">
        <v>22</v>
      </c>
      <c r="E1186" s="2" t="s">
        <v>32</v>
      </c>
      <c r="F1186" s="2" t="s">
        <v>24</v>
      </c>
      <c r="G1186" s="2" t="s">
        <v>25</v>
      </c>
      <c r="H1186" s="2" t="n">
        <v>1</v>
      </c>
      <c r="I1186" s="2" t="str">
        <f aca="false">IF(C1186="","Open","Resolved")</f>
        <v>Resolved</v>
      </c>
      <c r="J1186" s="2" t="str">
        <f aca="false">TEXT(B1186,"yyyy-mm")</f>
        <v>2026-06</v>
      </c>
      <c r="K1186" s="8" t="n">
        <f aca="false">IF(C1186="","",ROUND((C1186-B1186)*24,2))</f>
        <v>80.57</v>
      </c>
      <c r="L1186" s="2" t="n">
        <f aca="false">INDEX('SLA Policy'!$B$2:$B$5,MATCH(E1186,'SLA Policy'!$A$2:$A$5,0))</f>
        <v>72</v>
      </c>
      <c r="M1186" s="2" t="str">
        <f aca="false">IF(K1186="","Open",IF(K1186&lt;=L1186,"Yes","No"))</f>
        <v>No</v>
      </c>
    </row>
    <row r="1187" customFormat="false" ht="15" hidden="false" customHeight="false" outlineLevel="0" collapsed="false">
      <c r="A1187" s="2" t="s">
        <v>1221</v>
      </c>
      <c r="B1187" s="7" t="n">
        <v>46202.3930555556</v>
      </c>
      <c r="C1187" s="7"/>
      <c r="D1187" s="2" t="s">
        <v>22</v>
      </c>
      <c r="E1187" s="2" t="s">
        <v>35</v>
      </c>
      <c r="F1187" s="2" t="s">
        <v>38</v>
      </c>
      <c r="G1187" s="2" t="s">
        <v>25</v>
      </c>
      <c r="H1187" s="2"/>
      <c r="I1187" s="2" t="str">
        <f aca="false">IF(C1187="","Open","Resolved")</f>
        <v>Open</v>
      </c>
      <c r="J1187" s="2" t="str">
        <f aca="false">TEXT(B1187,"yyyy-mm")</f>
        <v>2026-06</v>
      </c>
      <c r="K1187" s="8" t="str">
        <f aca="false">IF(C1187="","",ROUND((C1187-B1187)*24,2))</f>
        <v/>
      </c>
      <c r="L1187" s="2" t="n">
        <f aca="false">INDEX('SLA Policy'!$B$2:$B$5,MATCH(E1187,'SLA Policy'!$A$2:$A$5,0))</f>
        <v>24</v>
      </c>
      <c r="M1187" s="2" t="str">
        <f aca="false">IF(K1187="","Open",IF(K1187&lt;=L1187,"Yes","No"))</f>
        <v>Open</v>
      </c>
    </row>
    <row r="1188" customFormat="false" ht="15" hidden="false" customHeight="false" outlineLevel="0" collapsed="false">
      <c r="A1188" s="2" t="s">
        <v>1222</v>
      </c>
      <c r="B1188" s="7" t="n">
        <v>46202.4722222222</v>
      </c>
      <c r="C1188" s="7"/>
      <c r="D1188" s="2" t="s">
        <v>42</v>
      </c>
      <c r="E1188" s="2" t="s">
        <v>35</v>
      </c>
      <c r="F1188" s="2" t="s">
        <v>27</v>
      </c>
      <c r="G1188" s="2" t="s">
        <v>29</v>
      </c>
      <c r="H1188" s="2"/>
      <c r="I1188" s="2" t="str">
        <f aca="false">IF(C1188="","Open","Resolved")</f>
        <v>Open</v>
      </c>
      <c r="J1188" s="2" t="str">
        <f aca="false">TEXT(B1188,"yyyy-mm")</f>
        <v>2026-06</v>
      </c>
      <c r="K1188" s="8" t="str">
        <f aca="false">IF(C1188="","",ROUND((C1188-B1188)*24,2))</f>
        <v/>
      </c>
      <c r="L1188" s="2" t="n">
        <f aca="false">INDEX('SLA Policy'!$B$2:$B$5,MATCH(E1188,'SLA Policy'!$A$2:$A$5,0))</f>
        <v>24</v>
      </c>
      <c r="M1188" s="2" t="str">
        <f aca="false">IF(K1188="","Open",IF(K1188&lt;=L1188,"Yes","No"))</f>
        <v>Open</v>
      </c>
    </row>
    <row r="1189" customFormat="false" ht="15" hidden="false" customHeight="false" outlineLevel="0" collapsed="false">
      <c r="A1189" s="2" t="s">
        <v>1223</v>
      </c>
      <c r="B1189" s="7" t="n">
        <v>46202.5354166667</v>
      </c>
      <c r="C1189" s="7" t="n">
        <v>46202.7902777778</v>
      </c>
      <c r="D1189" s="2" t="s">
        <v>42</v>
      </c>
      <c r="E1189" s="2" t="s">
        <v>23</v>
      </c>
      <c r="F1189" s="2" t="s">
        <v>38</v>
      </c>
      <c r="G1189" s="2" t="s">
        <v>29</v>
      </c>
      <c r="H1189" s="2" t="n">
        <v>4</v>
      </c>
      <c r="I1189" s="2" t="str">
        <f aca="false">IF(C1189="","Open","Resolved")</f>
        <v>Resolved</v>
      </c>
      <c r="J1189" s="2" t="str">
        <f aca="false">TEXT(B1189,"yyyy-mm")</f>
        <v>2026-06</v>
      </c>
      <c r="K1189" s="8" t="n">
        <f aca="false">IF(C1189="","",ROUND((C1189-B1189)*24,2))</f>
        <v>6.12</v>
      </c>
      <c r="L1189" s="2" t="n">
        <f aca="false">INDEX('SLA Policy'!$B$2:$B$5,MATCH(E1189,'SLA Policy'!$A$2:$A$5,0))</f>
        <v>8</v>
      </c>
      <c r="M1189" s="2" t="str">
        <f aca="false">IF(K1189="","Open",IF(K1189&lt;=L1189,"Yes","No"))</f>
        <v>Yes</v>
      </c>
    </row>
    <row r="1190" customFormat="false" ht="15" hidden="false" customHeight="false" outlineLevel="0" collapsed="false">
      <c r="A1190" s="2" t="s">
        <v>1224</v>
      </c>
      <c r="B1190" s="7" t="n">
        <v>46202.6173611111</v>
      </c>
      <c r="C1190" s="7" t="n">
        <v>46203.7368055556</v>
      </c>
      <c r="D1190" s="2" t="s">
        <v>42</v>
      </c>
      <c r="E1190" s="2" t="s">
        <v>32</v>
      </c>
      <c r="F1190" s="2" t="s">
        <v>27</v>
      </c>
      <c r="G1190" s="2" t="s">
        <v>29</v>
      </c>
      <c r="H1190" s="2" t="n">
        <v>4</v>
      </c>
      <c r="I1190" s="2" t="str">
        <f aca="false">IF(C1190="","Open","Resolved")</f>
        <v>Resolved</v>
      </c>
      <c r="J1190" s="2" t="str">
        <f aca="false">TEXT(B1190,"yyyy-mm")</f>
        <v>2026-06</v>
      </c>
      <c r="K1190" s="8" t="n">
        <f aca="false">IF(C1190="","",ROUND((C1190-B1190)*24,2))</f>
        <v>26.87</v>
      </c>
      <c r="L1190" s="2" t="n">
        <f aca="false">INDEX('SLA Policy'!$B$2:$B$5,MATCH(E1190,'SLA Policy'!$A$2:$A$5,0))</f>
        <v>72</v>
      </c>
      <c r="M1190" s="2" t="str">
        <f aca="false">IF(K1190="","Open",IF(K1190&lt;=L1190,"Yes","No"))</f>
        <v>Yes</v>
      </c>
    </row>
    <row r="1191" customFormat="false" ht="15" hidden="false" customHeight="false" outlineLevel="0" collapsed="false">
      <c r="A1191" s="2" t="s">
        <v>1225</v>
      </c>
      <c r="B1191" s="7" t="n">
        <v>46202.625</v>
      </c>
      <c r="C1191" s="7"/>
      <c r="D1191" s="2" t="s">
        <v>48</v>
      </c>
      <c r="E1191" s="2" t="s">
        <v>35</v>
      </c>
      <c r="F1191" s="2" t="s">
        <v>27</v>
      </c>
      <c r="G1191" s="2" t="s">
        <v>25</v>
      </c>
      <c r="H1191" s="2"/>
      <c r="I1191" s="2" t="str">
        <f aca="false">IF(C1191="","Open","Resolved")</f>
        <v>Open</v>
      </c>
      <c r="J1191" s="2" t="str">
        <f aca="false">TEXT(B1191,"yyyy-mm")</f>
        <v>2026-06</v>
      </c>
      <c r="K1191" s="8" t="str">
        <f aca="false">IF(C1191="","",ROUND((C1191-B1191)*24,2))</f>
        <v/>
      </c>
      <c r="L1191" s="2" t="n">
        <f aca="false">INDEX('SLA Policy'!$B$2:$B$5,MATCH(E1191,'SLA Policy'!$A$2:$A$5,0))</f>
        <v>24</v>
      </c>
      <c r="M1191" s="2" t="str">
        <f aca="false">IF(K1191="","Open",IF(K1191&lt;=L1191,"Yes","No"))</f>
        <v>Open</v>
      </c>
    </row>
    <row r="1192" customFormat="false" ht="15" hidden="false" customHeight="false" outlineLevel="0" collapsed="false">
      <c r="A1192" s="2" t="s">
        <v>1226</v>
      </c>
      <c r="B1192" s="7" t="n">
        <v>46202.6548611111</v>
      </c>
      <c r="C1192" s="7"/>
      <c r="D1192" s="2" t="s">
        <v>27</v>
      </c>
      <c r="E1192" s="2" t="s">
        <v>35</v>
      </c>
      <c r="F1192" s="2" t="s">
        <v>28</v>
      </c>
      <c r="G1192" s="2" t="s">
        <v>29</v>
      </c>
      <c r="H1192" s="2"/>
      <c r="I1192" s="2" t="str">
        <f aca="false">IF(C1192="","Open","Resolved")</f>
        <v>Open</v>
      </c>
      <c r="J1192" s="2" t="str">
        <f aca="false">TEXT(B1192,"yyyy-mm")</f>
        <v>2026-06</v>
      </c>
      <c r="K1192" s="8" t="str">
        <f aca="false">IF(C1192="","",ROUND((C1192-B1192)*24,2))</f>
        <v/>
      </c>
      <c r="L1192" s="2" t="n">
        <f aca="false">INDEX('SLA Policy'!$B$2:$B$5,MATCH(E1192,'SLA Policy'!$A$2:$A$5,0))</f>
        <v>24</v>
      </c>
      <c r="M1192" s="2" t="str">
        <f aca="false">IF(K1192="","Open",IF(K1192&lt;=L1192,"Yes","No"))</f>
        <v>Open</v>
      </c>
    </row>
    <row r="1193" customFormat="false" ht="15" hidden="false" customHeight="false" outlineLevel="0" collapsed="false">
      <c r="A1193" s="2" t="s">
        <v>1227</v>
      </c>
      <c r="B1193" s="7" t="n">
        <v>46202.6743055556</v>
      </c>
      <c r="C1193" s="7" t="n">
        <v>46204.1041666667</v>
      </c>
      <c r="D1193" s="2" t="s">
        <v>31</v>
      </c>
      <c r="E1193" s="2" t="s">
        <v>32</v>
      </c>
      <c r="F1193" s="2" t="s">
        <v>28</v>
      </c>
      <c r="G1193" s="2" t="s">
        <v>33</v>
      </c>
      <c r="H1193" s="2" t="n">
        <v>2</v>
      </c>
      <c r="I1193" s="2" t="str">
        <f aca="false">IF(C1193="","Open","Resolved")</f>
        <v>Resolved</v>
      </c>
      <c r="J1193" s="2" t="str">
        <f aca="false">TEXT(B1193,"yyyy-mm")</f>
        <v>2026-06</v>
      </c>
      <c r="K1193" s="8" t="n">
        <f aca="false">IF(C1193="","",ROUND((C1193-B1193)*24,2))</f>
        <v>34.32</v>
      </c>
      <c r="L1193" s="2" t="n">
        <f aca="false">INDEX('SLA Policy'!$B$2:$B$5,MATCH(E1193,'SLA Policy'!$A$2:$A$5,0))</f>
        <v>72</v>
      </c>
      <c r="M1193" s="2" t="str">
        <f aca="false">IF(K1193="","Open",IF(K1193&lt;=L1193,"Yes","No"))</f>
        <v>Yes</v>
      </c>
    </row>
    <row r="1194" customFormat="false" ht="15" hidden="false" customHeight="false" outlineLevel="0" collapsed="false">
      <c r="A1194" s="2" t="s">
        <v>1228</v>
      </c>
      <c r="B1194" s="7" t="n">
        <v>46203.3236111111</v>
      </c>
      <c r="C1194" s="7"/>
      <c r="D1194" s="2" t="s">
        <v>42</v>
      </c>
      <c r="E1194" s="2" t="s">
        <v>35</v>
      </c>
      <c r="F1194" s="2" t="s">
        <v>27</v>
      </c>
      <c r="G1194" s="2" t="s">
        <v>29</v>
      </c>
      <c r="H1194" s="2"/>
      <c r="I1194" s="2" t="str">
        <f aca="false">IF(C1194="","Open","Resolved")</f>
        <v>Open</v>
      </c>
      <c r="J1194" s="2" t="str">
        <f aca="false">TEXT(B1194,"yyyy-mm")</f>
        <v>2026-06</v>
      </c>
      <c r="K1194" s="8" t="str">
        <f aca="false">IF(C1194="","",ROUND((C1194-B1194)*24,2))</f>
        <v/>
      </c>
      <c r="L1194" s="2" t="n">
        <f aca="false">INDEX('SLA Policy'!$B$2:$B$5,MATCH(E1194,'SLA Policy'!$A$2:$A$5,0))</f>
        <v>24</v>
      </c>
      <c r="M1194" s="2" t="str">
        <f aca="false">IF(K1194="","Open",IF(K1194&lt;=L1194,"Yes","No"))</f>
        <v>Open</v>
      </c>
    </row>
    <row r="1195" customFormat="false" ht="15" hidden="false" customHeight="false" outlineLevel="0" collapsed="false">
      <c r="A1195" s="2" t="s">
        <v>1229</v>
      </c>
      <c r="B1195" s="7" t="n">
        <v>46203.3791666667</v>
      </c>
      <c r="C1195" s="7"/>
      <c r="D1195" s="2" t="s">
        <v>22</v>
      </c>
      <c r="E1195" s="2" t="s">
        <v>23</v>
      </c>
      <c r="F1195" s="2" t="s">
        <v>27</v>
      </c>
      <c r="G1195" s="2" t="s">
        <v>25</v>
      </c>
      <c r="H1195" s="2"/>
      <c r="I1195" s="2" t="str">
        <f aca="false">IF(C1195="","Open","Resolved")</f>
        <v>Open</v>
      </c>
      <c r="J1195" s="2" t="str">
        <f aca="false">TEXT(B1195,"yyyy-mm")</f>
        <v>2026-06</v>
      </c>
      <c r="K1195" s="8" t="str">
        <f aca="false">IF(C1195="","",ROUND((C1195-B1195)*24,2))</f>
        <v/>
      </c>
      <c r="L1195" s="2" t="n">
        <f aca="false">INDEX('SLA Policy'!$B$2:$B$5,MATCH(E1195,'SLA Policy'!$A$2:$A$5,0))</f>
        <v>8</v>
      </c>
      <c r="M1195" s="2" t="str">
        <f aca="false">IF(K1195="","Open",IF(K1195&lt;=L1195,"Yes","No"))</f>
        <v>Open</v>
      </c>
    </row>
    <row r="1196" customFormat="false" ht="15" hidden="false" customHeight="false" outlineLevel="0" collapsed="false">
      <c r="A1196" s="2" t="s">
        <v>1230</v>
      </c>
      <c r="B1196" s="7" t="n">
        <v>46203.4083333333</v>
      </c>
      <c r="C1196" s="7"/>
      <c r="D1196" s="2" t="s">
        <v>22</v>
      </c>
      <c r="E1196" s="2" t="s">
        <v>23</v>
      </c>
      <c r="F1196" s="2" t="s">
        <v>27</v>
      </c>
      <c r="G1196" s="2" t="s">
        <v>25</v>
      </c>
      <c r="H1196" s="2"/>
      <c r="I1196" s="2" t="str">
        <f aca="false">IF(C1196="","Open","Resolved")</f>
        <v>Open</v>
      </c>
      <c r="J1196" s="2" t="str">
        <f aca="false">TEXT(B1196,"yyyy-mm")</f>
        <v>2026-06</v>
      </c>
      <c r="K1196" s="8" t="str">
        <f aca="false">IF(C1196="","",ROUND((C1196-B1196)*24,2))</f>
        <v/>
      </c>
      <c r="L1196" s="2" t="n">
        <f aca="false">INDEX('SLA Policy'!$B$2:$B$5,MATCH(E1196,'SLA Policy'!$A$2:$A$5,0))</f>
        <v>8</v>
      </c>
      <c r="M1196" s="2" t="str">
        <f aca="false">IF(K1196="","Open",IF(K1196&lt;=L1196,"Yes","No"))</f>
        <v>Open</v>
      </c>
    </row>
    <row r="1197" customFormat="false" ht="15" hidden="false" customHeight="false" outlineLevel="0" collapsed="false">
      <c r="A1197" s="2" t="s">
        <v>1231</v>
      </c>
      <c r="B1197" s="7" t="n">
        <v>46203.4131944445</v>
      </c>
      <c r="C1197" s="7"/>
      <c r="D1197" s="2" t="s">
        <v>42</v>
      </c>
      <c r="E1197" s="2" t="s">
        <v>32</v>
      </c>
      <c r="F1197" s="2" t="s">
        <v>38</v>
      </c>
      <c r="G1197" s="2" t="s">
        <v>29</v>
      </c>
      <c r="H1197" s="2"/>
      <c r="I1197" s="2" t="str">
        <f aca="false">IF(C1197="","Open","Resolved")</f>
        <v>Open</v>
      </c>
      <c r="J1197" s="2" t="str">
        <f aca="false">TEXT(B1197,"yyyy-mm")</f>
        <v>2026-06</v>
      </c>
      <c r="K1197" s="8" t="str">
        <f aca="false">IF(C1197="","",ROUND((C1197-B1197)*24,2))</f>
        <v/>
      </c>
      <c r="L1197" s="2" t="n">
        <f aca="false">INDEX('SLA Policy'!$B$2:$B$5,MATCH(E1197,'SLA Policy'!$A$2:$A$5,0))</f>
        <v>72</v>
      </c>
      <c r="M1197" s="2" t="str">
        <f aca="false">IF(K1197="","Open",IF(K1197&lt;=L1197,"Yes","No"))</f>
        <v>Open</v>
      </c>
    </row>
    <row r="1198" customFormat="false" ht="15" hidden="false" customHeight="false" outlineLevel="0" collapsed="false">
      <c r="A1198" s="2" t="s">
        <v>1232</v>
      </c>
      <c r="B1198" s="7" t="n">
        <v>46203.4201388889</v>
      </c>
      <c r="C1198" s="7" t="n">
        <v>46207.2118055556</v>
      </c>
      <c r="D1198" s="2" t="s">
        <v>48</v>
      </c>
      <c r="E1198" s="2" t="s">
        <v>32</v>
      </c>
      <c r="F1198" s="2" t="s">
        <v>27</v>
      </c>
      <c r="G1198" s="2" t="s">
        <v>25</v>
      </c>
      <c r="H1198" s="2" t="n">
        <v>2</v>
      </c>
      <c r="I1198" s="2" t="str">
        <f aca="false">IF(C1198="","Open","Resolved")</f>
        <v>Resolved</v>
      </c>
      <c r="J1198" s="2" t="str">
        <f aca="false">TEXT(B1198,"yyyy-mm")</f>
        <v>2026-06</v>
      </c>
      <c r="K1198" s="8" t="n">
        <f aca="false">IF(C1198="","",ROUND((C1198-B1198)*24,2))</f>
        <v>91</v>
      </c>
      <c r="L1198" s="2" t="n">
        <f aca="false">INDEX('SLA Policy'!$B$2:$B$5,MATCH(E1198,'SLA Policy'!$A$2:$A$5,0))</f>
        <v>72</v>
      </c>
      <c r="M1198" s="2" t="str">
        <f aca="false">IF(K1198="","Open",IF(K1198&lt;=L1198,"Yes","No"))</f>
        <v>No</v>
      </c>
    </row>
    <row r="1199" customFormat="false" ht="15" hidden="false" customHeight="false" outlineLevel="0" collapsed="false">
      <c r="A1199" s="2" t="s">
        <v>1233</v>
      </c>
      <c r="B1199" s="7" t="n">
        <v>46203.4965277778</v>
      </c>
      <c r="C1199" s="7"/>
      <c r="D1199" s="2" t="s">
        <v>22</v>
      </c>
      <c r="E1199" s="2" t="s">
        <v>32</v>
      </c>
      <c r="F1199" s="2" t="s">
        <v>38</v>
      </c>
      <c r="G1199" s="2" t="s">
        <v>25</v>
      </c>
      <c r="H1199" s="2"/>
      <c r="I1199" s="2" t="str">
        <f aca="false">IF(C1199="","Open","Resolved")</f>
        <v>Open</v>
      </c>
      <c r="J1199" s="2" t="str">
        <f aca="false">TEXT(B1199,"yyyy-mm")</f>
        <v>2026-06</v>
      </c>
      <c r="K1199" s="8" t="str">
        <f aca="false">IF(C1199="","",ROUND((C1199-B1199)*24,2))</f>
        <v/>
      </c>
      <c r="L1199" s="2" t="n">
        <f aca="false">INDEX('SLA Policy'!$B$2:$B$5,MATCH(E1199,'SLA Policy'!$A$2:$A$5,0))</f>
        <v>72</v>
      </c>
      <c r="M1199" s="2" t="str">
        <f aca="false">IF(K1199="","Open",IF(K1199&lt;=L1199,"Yes","No"))</f>
        <v>Open</v>
      </c>
    </row>
    <row r="1200" customFormat="false" ht="15" hidden="false" customHeight="false" outlineLevel="0" collapsed="false">
      <c r="A1200" s="2" t="s">
        <v>1234</v>
      </c>
      <c r="B1200" s="7" t="n">
        <v>46203.5631944445</v>
      </c>
      <c r="C1200" s="7"/>
      <c r="D1200" s="2" t="s">
        <v>31</v>
      </c>
      <c r="E1200" s="2" t="s">
        <v>23</v>
      </c>
      <c r="F1200" s="2" t="s">
        <v>27</v>
      </c>
      <c r="G1200" s="2" t="s">
        <v>33</v>
      </c>
      <c r="H1200" s="2"/>
      <c r="I1200" s="2" t="str">
        <f aca="false">IF(C1200="","Open","Resolved")</f>
        <v>Open</v>
      </c>
      <c r="J1200" s="2" t="str">
        <f aca="false">TEXT(B1200,"yyyy-mm")</f>
        <v>2026-06</v>
      </c>
      <c r="K1200" s="8" t="str">
        <f aca="false">IF(C1200="","",ROUND((C1200-B1200)*24,2))</f>
        <v/>
      </c>
      <c r="L1200" s="2" t="n">
        <f aca="false">INDEX('SLA Policy'!$B$2:$B$5,MATCH(E1200,'SLA Policy'!$A$2:$A$5,0))</f>
        <v>8</v>
      </c>
      <c r="M1200" s="2" t="str">
        <f aca="false">IF(K1200="","Open",IF(K1200&lt;=L1200,"Yes","No"))</f>
        <v>Open</v>
      </c>
    </row>
    <row r="1201" customFormat="false" ht="15" hidden="false" customHeight="false" outlineLevel="0" collapsed="false">
      <c r="A1201" s="2" t="s">
        <v>1235</v>
      </c>
      <c r="B1201" s="7" t="n">
        <v>46203.6631944445</v>
      </c>
      <c r="C1201" s="7" t="n">
        <v>46204.0305555556</v>
      </c>
      <c r="D1201" s="2" t="s">
        <v>31</v>
      </c>
      <c r="E1201" s="2" t="s">
        <v>23</v>
      </c>
      <c r="F1201" s="2" t="s">
        <v>38</v>
      </c>
      <c r="G1201" s="2" t="s">
        <v>33</v>
      </c>
      <c r="H1201" s="2" t="n">
        <v>3</v>
      </c>
      <c r="I1201" s="2" t="str">
        <f aca="false">IF(C1201="","Open","Resolved")</f>
        <v>Resolved</v>
      </c>
      <c r="J1201" s="2" t="str">
        <f aca="false">TEXT(B1201,"yyyy-mm")</f>
        <v>2026-06</v>
      </c>
      <c r="K1201" s="8" t="n">
        <f aca="false">IF(C1201="","",ROUND((C1201-B1201)*24,2))</f>
        <v>8.82</v>
      </c>
      <c r="L1201" s="2" t="n">
        <f aca="false">INDEX('SLA Policy'!$B$2:$B$5,MATCH(E1201,'SLA Policy'!$A$2:$A$5,0))</f>
        <v>8</v>
      </c>
      <c r="M1201" s="2" t="str">
        <f aca="false">IF(K1201="","Open",IF(K1201&lt;=L1201,"Yes","No"))</f>
        <v>No</v>
      </c>
    </row>
  </sheetData>
  <autoFilter ref="A1:M1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9" t="s">
        <v>1236</v>
      </c>
    </row>
    <row r="3" customFormat="false" ht="15" hidden="false" customHeight="false" outlineLevel="0" collapsed="false">
      <c r="A3" s="3" t="s">
        <v>1237</v>
      </c>
    </row>
    <row r="4" customFormat="false" ht="15" hidden="false" customHeight="false" outlineLevel="0" collapsed="false">
      <c r="A4" s="2" t="s">
        <v>1238</v>
      </c>
      <c r="B4" s="10" t="n">
        <f aca="false">COUNTA(Tickets!$A$2:$A$1201)</f>
        <v>1200</v>
      </c>
    </row>
    <row r="5" customFormat="false" ht="15" hidden="false" customHeight="false" outlineLevel="0" collapsed="false">
      <c r="A5" s="2" t="s">
        <v>1239</v>
      </c>
      <c r="B5" s="10" t="n">
        <f aca="false">COUNTIF(Tickets!$I$2:$I$1201,"Open")</f>
        <v>27</v>
      </c>
    </row>
    <row r="6" customFormat="false" ht="15" hidden="false" customHeight="false" outlineLevel="0" collapsed="false">
      <c r="A6" s="2" t="s">
        <v>1240</v>
      </c>
      <c r="B6" s="11" t="n">
        <f aca="false">AVERAGE(Tickets!$K$2:$K$1201)</f>
        <v>28.5633418584825</v>
      </c>
    </row>
    <row r="7" customFormat="false" ht="15" hidden="false" customHeight="false" outlineLevel="0" collapsed="false">
      <c r="A7" s="2" t="s">
        <v>1241</v>
      </c>
      <c r="B7" s="11" t="n">
        <f aca="false">MEDIAN(Tickets!$K$2:$K$1201)</f>
        <v>18.53</v>
      </c>
    </row>
    <row r="8" customFormat="false" ht="15" hidden="false" customHeight="false" outlineLevel="0" collapsed="false">
      <c r="A8" s="2" t="s">
        <v>1242</v>
      </c>
      <c r="B8" s="12" t="n">
        <f aca="false">COUNTIF(Tickets!$M$2:$M$1201,"Yes")/(COUNTIF(Tickets!$M$2:$M$1201,"Yes")+COUNTIF(Tickets!$M$2:$M$1201,"No"))</f>
        <v>0.644501278772379</v>
      </c>
    </row>
    <row r="9" customFormat="false" ht="15" hidden="false" customHeight="false" outlineLevel="0" collapsed="false">
      <c r="A9" s="2" t="s">
        <v>1243</v>
      </c>
      <c r="B9" s="13" t="n">
        <f aca="false">AVERAGE(Tickets!$H$2:$H$1201)</f>
        <v>3.86359761295823</v>
      </c>
    </row>
    <row r="11" customFormat="false" ht="31.5" hidden="false" customHeight="true" outlineLevel="0" collapsed="false">
      <c r="A11" s="14" t="s">
        <v>11</v>
      </c>
      <c r="B11" s="14" t="s">
        <v>1244</v>
      </c>
      <c r="C11" s="14" t="s">
        <v>1245</v>
      </c>
      <c r="D11" s="14" t="s">
        <v>1246</v>
      </c>
      <c r="E11" s="14" t="s">
        <v>1247</v>
      </c>
      <c r="F11" s="14" t="s">
        <v>1248</v>
      </c>
      <c r="G11" s="14" t="s">
        <v>1249</v>
      </c>
      <c r="H11" s="14" t="s">
        <v>1250</v>
      </c>
    </row>
    <row r="12" customFormat="false" ht="15" hidden="false" customHeight="false" outlineLevel="0" collapsed="false">
      <c r="A12" s="2" t="s">
        <v>42</v>
      </c>
      <c r="B12" s="2" t="n">
        <f aca="false">COUNTIF(Tickets!$D$2:$D$1201,$A12)</f>
        <v>290</v>
      </c>
      <c r="C12" s="15" t="n">
        <f aca="false">B12/$B$4</f>
        <v>0.241666666666667</v>
      </c>
      <c r="D12" s="16" t="n">
        <f aca="false">IFERROR(AVERAGEIFS(Tickets!$K$2:$K$1201,Tickets!$D$2:$D$1201,$A12),0)</f>
        <v>13.5840501792115</v>
      </c>
      <c r="E12" s="2" t="n">
        <f aca="false">COUNTIFS(Tickets!$D$2:$D$1201,$A12,Tickets!$M$2:$M$1201,"Yes")</f>
        <v>266</v>
      </c>
      <c r="F12" s="2" t="n">
        <f aca="false">COUNTIFS(Tickets!$D$2:$D$1201,$A12,Tickets!$M$2:$M$1201,"No")</f>
        <v>13</v>
      </c>
      <c r="G12" s="15" t="n">
        <f aca="false">IFERROR(E12/(E12+F12),0)</f>
        <v>0.953405017921147</v>
      </c>
      <c r="H12" s="8" t="n">
        <f aca="false">IFERROR(AVERAGEIFS(Tickets!$H$2:$H$1201,Tickets!$D$2:$D$1201,$A12),0)</f>
        <v>4.37992831541219</v>
      </c>
    </row>
    <row r="13" customFormat="false" ht="15" hidden="false" customHeight="false" outlineLevel="0" collapsed="false">
      <c r="A13" s="2" t="s">
        <v>27</v>
      </c>
      <c r="B13" s="2" t="n">
        <f aca="false">COUNTIF(Tickets!$D$2:$D$1201,$A13)</f>
        <v>126</v>
      </c>
      <c r="C13" s="15" t="n">
        <f aca="false">B13/$B$4</f>
        <v>0.105</v>
      </c>
      <c r="D13" s="16" t="n">
        <f aca="false">IFERROR(AVERAGEIFS(Tickets!$K$2:$K$1201,Tickets!$D$2:$D$1201,$A13),0)</f>
        <v>19.3149593495935</v>
      </c>
      <c r="E13" s="2" t="n">
        <f aca="false">COUNTIFS(Tickets!$D$2:$D$1201,$A13,Tickets!$M$2:$M$1201,"Yes")</f>
        <v>97</v>
      </c>
      <c r="F13" s="2" t="n">
        <f aca="false">COUNTIFS(Tickets!$D$2:$D$1201,$A13,Tickets!$M$2:$M$1201,"No")</f>
        <v>26</v>
      </c>
      <c r="G13" s="15" t="n">
        <f aca="false">IFERROR(E13/(E13+F13),0)</f>
        <v>0.788617886178862</v>
      </c>
      <c r="H13" s="8" t="n">
        <f aca="false">IFERROR(AVERAGEIFS(Tickets!$H$2:$H$1201,Tickets!$D$2:$D$1201,$A13),0)</f>
        <v>4.05691056910569</v>
      </c>
    </row>
    <row r="14" customFormat="false" ht="15" hidden="false" customHeight="false" outlineLevel="0" collapsed="false">
      <c r="A14" s="2" t="s">
        <v>22</v>
      </c>
      <c r="B14" s="2" t="n">
        <f aca="false">COUNTIF(Tickets!$D$2:$D$1201,$A14)</f>
        <v>207</v>
      </c>
      <c r="C14" s="15" t="n">
        <f aca="false">B14/$B$4</f>
        <v>0.1725</v>
      </c>
      <c r="D14" s="16" t="n">
        <f aca="false">IFERROR(AVERAGEIFS(Tickets!$K$2:$K$1201,Tickets!$D$2:$D$1201,$A14),0)</f>
        <v>43.440447761194</v>
      </c>
      <c r="E14" s="2" t="n">
        <f aca="false">COUNTIFS(Tickets!$D$2:$D$1201,$A14,Tickets!$M$2:$M$1201,"Yes")</f>
        <v>67</v>
      </c>
      <c r="F14" s="2" t="n">
        <f aca="false">COUNTIFS(Tickets!$D$2:$D$1201,$A14,Tickets!$M$2:$M$1201,"No")</f>
        <v>134</v>
      </c>
      <c r="G14" s="15" t="n">
        <f aca="false">IFERROR(E14/(E14+F14),0)</f>
        <v>0.333333333333333</v>
      </c>
      <c r="H14" s="8" t="n">
        <f aca="false">IFERROR(AVERAGEIFS(Tickets!$H$2:$H$1201,Tickets!$D$2:$D$1201,$A14),0)</f>
        <v>3.48756218905473</v>
      </c>
    </row>
    <row r="15" customFormat="false" ht="15" hidden="false" customHeight="false" outlineLevel="0" collapsed="false">
      <c r="A15" s="2" t="s">
        <v>48</v>
      </c>
      <c r="B15" s="2" t="n">
        <f aca="false">COUNTIF(Tickets!$D$2:$D$1201,$A15)</f>
        <v>172</v>
      </c>
      <c r="C15" s="15" t="n">
        <f aca="false">B15/$B$4</f>
        <v>0.143333333333333</v>
      </c>
      <c r="D15" s="16" t="n">
        <f aca="false">IFERROR(AVERAGEIFS(Tickets!$K$2:$K$1201,Tickets!$D$2:$D$1201,$A15),0)</f>
        <v>51.7450292397661</v>
      </c>
      <c r="E15" s="2" t="n">
        <f aca="false">COUNTIFS(Tickets!$D$2:$D$1201,$A15,Tickets!$M$2:$M$1201,"Yes")</f>
        <v>48</v>
      </c>
      <c r="F15" s="2" t="n">
        <f aca="false">COUNTIFS(Tickets!$D$2:$D$1201,$A15,Tickets!$M$2:$M$1201,"No")</f>
        <v>123</v>
      </c>
      <c r="G15" s="15" t="n">
        <f aca="false">IFERROR(E15/(E15+F15),0)</f>
        <v>0.280701754385965</v>
      </c>
      <c r="H15" s="8" t="n">
        <f aca="false">IFERROR(AVERAGEIFS(Tickets!$H$2:$H$1201,Tickets!$D$2:$D$1201,$A15),0)</f>
        <v>3.09941520467836</v>
      </c>
    </row>
    <row r="16" customFormat="false" ht="15" hidden="false" customHeight="false" outlineLevel="0" collapsed="false">
      <c r="A16" s="2" t="s">
        <v>31</v>
      </c>
      <c r="B16" s="2" t="n">
        <f aca="false">COUNTIF(Tickets!$D$2:$D$1201,$A16)</f>
        <v>405</v>
      </c>
      <c r="C16" s="15" t="n">
        <f aca="false">B16/$B$4</f>
        <v>0.3375</v>
      </c>
      <c r="D16" s="16" t="n">
        <f aca="false">IFERROR(AVERAGEIFS(Tickets!$K$2:$K$1201,Tickets!$D$2:$D$1201,$A16),0)</f>
        <v>24.4590977443609</v>
      </c>
      <c r="E16" s="2" t="n">
        <f aca="false">COUNTIFS(Tickets!$D$2:$D$1201,$A16,Tickets!$M$2:$M$1201,"Yes")</f>
        <v>278</v>
      </c>
      <c r="F16" s="2" t="n">
        <f aca="false">COUNTIFS(Tickets!$D$2:$D$1201,$A16,Tickets!$M$2:$M$1201,"No")</f>
        <v>121</v>
      </c>
      <c r="G16" s="15" t="n">
        <f aca="false">IFERROR(E16/(E16+F16),0)</f>
        <v>0.696741854636591</v>
      </c>
      <c r="H16" s="8" t="n">
        <f aca="false">IFERROR(AVERAGEIFS(Tickets!$H$2:$H$1201,Tickets!$D$2:$D$1201,$A16),0)</f>
        <v>3.95989974937343</v>
      </c>
    </row>
    <row r="19" customFormat="false" ht="31.5" hidden="false" customHeight="true" outlineLevel="0" collapsed="false">
      <c r="A19" s="14" t="s">
        <v>12</v>
      </c>
      <c r="B19" s="14" t="s">
        <v>1244</v>
      </c>
      <c r="C19" s="14" t="s">
        <v>1245</v>
      </c>
      <c r="D19" s="14" t="s">
        <v>1246</v>
      </c>
      <c r="E19" s="14" t="s">
        <v>1247</v>
      </c>
      <c r="F19" s="14" t="s">
        <v>1248</v>
      </c>
      <c r="G19" s="14" t="s">
        <v>1249</v>
      </c>
      <c r="H19" s="14" t="s">
        <v>1250</v>
      </c>
    </row>
    <row r="20" customFormat="false" ht="15" hidden="false" customHeight="false" outlineLevel="0" collapsed="false">
      <c r="A20" s="2" t="s">
        <v>40</v>
      </c>
      <c r="B20" s="2" t="n">
        <f aca="false">COUNTIF(Tickets!$E$2:$E$1201,$A20)</f>
        <v>73</v>
      </c>
      <c r="C20" s="15" t="n">
        <f aca="false">B20/$B$4</f>
        <v>0.0608333333333333</v>
      </c>
      <c r="D20" s="16" t="n">
        <f aca="false">IFERROR(AVERAGEIFS(Tickets!$K$2:$K$1201,Tickets!$E$2:$E$1201,$A20),0)</f>
        <v>3.71263888888889</v>
      </c>
      <c r="E20" s="2" t="n">
        <f aca="false">COUNTIFS(Tickets!$E$2:$E$1201,$A20,Tickets!$M$2:$M$1201,"Yes")</f>
        <v>43</v>
      </c>
      <c r="F20" s="2" t="n">
        <f aca="false">COUNTIFS(Tickets!$E$2:$E$1201,$A20,Tickets!$M$2:$M$1201,"No")</f>
        <v>29</v>
      </c>
      <c r="G20" s="15" t="n">
        <f aca="false">IFERROR(E20/(E20+F20),0)</f>
        <v>0.597222222222222</v>
      </c>
      <c r="H20" s="8" t="n">
        <f aca="false">IFERROR(AVERAGEIFS(Tickets!$H$2:$H$1201,Tickets!$E$2:$E$1201,$A20),0)</f>
        <v>4.61111111111111</v>
      </c>
    </row>
    <row r="21" customFormat="false" ht="15" hidden="false" customHeight="false" outlineLevel="0" collapsed="false">
      <c r="A21" s="2" t="s">
        <v>23</v>
      </c>
      <c r="B21" s="2" t="n">
        <f aca="false">COUNTIF(Tickets!$E$2:$E$1201,$A21)</f>
        <v>241</v>
      </c>
      <c r="C21" s="15" t="n">
        <f aca="false">B21/$B$4</f>
        <v>0.200833333333333</v>
      </c>
      <c r="D21" s="16" t="n">
        <f aca="false">IFERROR(AVERAGEIFS(Tickets!$K$2:$K$1201,Tickets!$E$2:$E$1201,$A21),0)</f>
        <v>9.14130801687764</v>
      </c>
      <c r="E21" s="2" t="n">
        <f aca="false">COUNTIFS(Tickets!$E$2:$E$1201,$A21,Tickets!$M$2:$M$1201,"Yes")</f>
        <v>133</v>
      </c>
      <c r="F21" s="2" t="n">
        <f aca="false">COUNTIFS(Tickets!$E$2:$E$1201,$A21,Tickets!$M$2:$M$1201,"No")</f>
        <v>104</v>
      </c>
      <c r="G21" s="15" t="n">
        <f aca="false">IFERROR(E21/(E21+F21),0)</f>
        <v>0.561181434599156</v>
      </c>
      <c r="H21" s="8" t="n">
        <f aca="false">IFERROR(AVERAGEIFS(Tickets!$H$2:$H$1201,Tickets!$E$2:$E$1201,$A21),0)</f>
        <v>4.48945147679325</v>
      </c>
    </row>
    <row r="22" customFormat="false" ht="15" hidden="false" customHeight="false" outlineLevel="0" collapsed="false">
      <c r="A22" s="2" t="s">
        <v>35</v>
      </c>
      <c r="B22" s="2" t="n">
        <f aca="false">COUNTIF(Tickets!$E$2:$E$1201,$A22)</f>
        <v>555</v>
      </c>
      <c r="C22" s="15" t="n">
        <f aca="false">B22/$B$4</f>
        <v>0.4625</v>
      </c>
      <c r="D22" s="16" t="n">
        <f aca="false">IFERROR(AVERAGEIFS(Tickets!$K$2:$K$1201,Tickets!$E$2:$E$1201,$A22),0)</f>
        <v>24.2338262476895</v>
      </c>
      <c r="E22" s="2" t="n">
        <f aca="false">COUNTIFS(Tickets!$E$2:$E$1201,$A22,Tickets!$M$2:$M$1201,"Yes")</f>
        <v>341</v>
      </c>
      <c r="F22" s="2" t="n">
        <f aca="false">COUNTIFS(Tickets!$E$2:$E$1201,$A22,Tickets!$M$2:$M$1201,"No")</f>
        <v>200</v>
      </c>
      <c r="G22" s="15" t="n">
        <f aca="false">IFERROR(E22/(E22+F22),0)</f>
        <v>0.630314232902033</v>
      </c>
      <c r="H22" s="8" t="n">
        <f aca="false">IFERROR(AVERAGEIFS(Tickets!$H$2:$H$1201,Tickets!$E$2:$E$1201,$A22),0)</f>
        <v>3.9815157116451</v>
      </c>
    </row>
    <row r="23" customFormat="false" ht="15" hidden="false" customHeight="false" outlineLevel="0" collapsed="false">
      <c r="A23" s="2" t="s">
        <v>32</v>
      </c>
      <c r="B23" s="2" t="n">
        <f aca="false">COUNTIF(Tickets!$E$2:$E$1201,$A23)</f>
        <v>331</v>
      </c>
      <c r="C23" s="15" t="n">
        <f aca="false">B23/$B$4</f>
        <v>0.275833333333333</v>
      </c>
      <c r="D23" s="16" t="n">
        <f aca="false">IFERROR(AVERAGEIFS(Tickets!$K$2:$K$1201,Tickets!$E$2:$E$1201,$A23),0)</f>
        <v>55.6052631578947</v>
      </c>
      <c r="E23" s="2" t="n">
        <f aca="false">COUNTIFS(Tickets!$E$2:$E$1201,$A23,Tickets!$M$2:$M$1201,"Yes")</f>
        <v>239</v>
      </c>
      <c r="F23" s="2" t="n">
        <f aca="false">COUNTIFS(Tickets!$E$2:$E$1201,$A23,Tickets!$M$2:$M$1201,"No")</f>
        <v>84</v>
      </c>
      <c r="G23" s="15" t="n">
        <f aca="false">IFERROR(E23/(E23+F23),0)</f>
        <v>0.739938080495356</v>
      </c>
      <c r="H23" s="8" t="n">
        <f aca="false">IFERROR(AVERAGEIFS(Tickets!$H$2:$H$1201,Tickets!$E$2:$E$1201,$A23),0)</f>
        <v>3.04024767801858</v>
      </c>
    </row>
    <row r="26" customFormat="false" ht="31.5" hidden="false" customHeight="true" outlineLevel="0" collapsed="false">
      <c r="A26" s="14" t="s">
        <v>1251</v>
      </c>
      <c r="B26" s="14" t="s">
        <v>1244</v>
      </c>
      <c r="C26" s="14" t="s">
        <v>1245</v>
      </c>
      <c r="D26" s="14" t="s">
        <v>1246</v>
      </c>
      <c r="E26" s="14" t="s">
        <v>1247</v>
      </c>
      <c r="F26" s="14" t="s">
        <v>1248</v>
      </c>
      <c r="G26" s="14" t="s">
        <v>1249</v>
      </c>
      <c r="H26" s="14" t="s">
        <v>1250</v>
      </c>
    </row>
    <row r="27" customFormat="false" ht="15" hidden="false" customHeight="false" outlineLevel="0" collapsed="false">
      <c r="A27" s="2" t="s">
        <v>29</v>
      </c>
      <c r="B27" s="2" t="n">
        <f aca="false">COUNTIF(Tickets!$G$2:$G$1201,$A27)</f>
        <v>416</v>
      </c>
      <c r="C27" s="15" t="n">
        <f aca="false">B27/$B$4</f>
        <v>0.346666666666667</v>
      </c>
      <c r="D27" s="16" t="n">
        <f aca="false">IFERROR(AVERAGEIFS(Tickets!$K$2:$K$1201,Tickets!$G$2:$G$1201,$A27),0)</f>
        <v>15.3375373134328</v>
      </c>
      <c r="E27" s="2" t="n">
        <f aca="false">COUNTIFS(Tickets!$G$2:$G$1201,$A27,Tickets!$M$2:$M$1201,"Yes")</f>
        <v>363</v>
      </c>
      <c r="F27" s="2" t="n">
        <f aca="false">COUNTIFS(Tickets!$G$2:$G$1201,$A27,Tickets!$M$2:$M$1201,"No")</f>
        <v>39</v>
      </c>
      <c r="G27" s="15" t="n">
        <f aca="false">IFERROR(E27/(E27+F27),0)</f>
        <v>0.902985074626866</v>
      </c>
      <c r="H27" s="8" t="n">
        <f aca="false">IFERROR(AVERAGEIFS(Tickets!$H$2:$H$1201,Tickets!$G$2:$G$1201,$A27),0)</f>
        <v>4.28109452736318</v>
      </c>
    </row>
    <row r="28" customFormat="false" ht="15" hidden="false" customHeight="false" outlineLevel="0" collapsed="false">
      <c r="A28" s="2" t="s">
        <v>33</v>
      </c>
      <c r="B28" s="2" t="n">
        <f aca="false">COUNTIF(Tickets!$G$2:$G$1201,$A28)</f>
        <v>405</v>
      </c>
      <c r="C28" s="15" t="n">
        <f aca="false">B28/$B$4</f>
        <v>0.3375</v>
      </c>
      <c r="D28" s="16" t="n">
        <f aca="false">IFERROR(AVERAGEIFS(Tickets!$K$2:$K$1201,Tickets!$G$2:$G$1201,$A28),0)</f>
        <v>24.4590977443609</v>
      </c>
      <c r="E28" s="2" t="n">
        <f aca="false">COUNTIFS(Tickets!$G$2:$G$1201,$A28,Tickets!$M$2:$M$1201,"Yes")</f>
        <v>278</v>
      </c>
      <c r="F28" s="2" t="n">
        <f aca="false">COUNTIFS(Tickets!$G$2:$G$1201,$A28,Tickets!$M$2:$M$1201,"No")</f>
        <v>121</v>
      </c>
      <c r="G28" s="15" t="n">
        <f aca="false">IFERROR(E28/(E28+F28),0)</f>
        <v>0.696741854636591</v>
      </c>
      <c r="H28" s="8" t="n">
        <f aca="false">IFERROR(AVERAGEIFS(Tickets!$H$2:$H$1201,Tickets!$G$2:$G$1201,$A28),0)</f>
        <v>3.95989974937343</v>
      </c>
    </row>
    <row r="29" customFormat="false" ht="15" hidden="false" customHeight="false" outlineLevel="0" collapsed="false">
      <c r="A29" s="2" t="s">
        <v>25</v>
      </c>
      <c r="B29" s="2" t="n">
        <f aca="false">COUNTIF(Tickets!$G$2:$G$1201,$A29)</f>
        <v>379</v>
      </c>
      <c r="C29" s="15" t="n">
        <f aca="false">B29/$B$4</f>
        <v>0.315833333333333</v>
      </c>
      <c r="D29" s="16" t="n">
        <f aca="false">IFERROR(AVERAGEIFS(Tickets!$K$2:$K$1201,Tickets!$G$2:$G$1201,$A29),0)</f>
        <v>47.257876344086</v>
      </c>
      <c r="E29" s="2" t="n">
        <f aca="false">COUNTIFS(Tickets!$G$2:$G$1201,$A29,Tickets!$M$2:$M$1201,"Yes")</f>
        <v>115</v>
      </c>
      <c r="F29" s="2" t="n">
        <f aca="false">COUNTIFS(Tickets!$G$2:$G$1201,$A29,Tickets!$M$2:$M$1201,"No")</f>
        <v>257</v>
      </c>
      <c r="G29" s="15" t="n">
        <f aca="false">IFERROR(E29/(E29+F29),0)</f>
        <v>0.309139784946237</v>
      </c>
      <c r="H29" s="8" t="n">
        <f aca="false">IFERROR(AVERAGEIFS(Tickets!$H$2:$H$1201,Tickets!$G$2:$G$1201,$A29),0)</f>
        <v>3.30913978494624</v>
      </c>
    </row>
    <row r="32" customFormat="false" ht="31.5" hidden="false" customHeight="true" outlineLevel="0" collapsed="false">
      <c r="A32" s="14" t="s">
        <v>13</v>
      </c>
      <c r="B32" s="14" t="s">
        <v>1244</v>
      </c>
      <c r="C32" s="14" t="s">
        <v>1245</v>
      </c>
      <c r="D32" s="14" t="s">
        <v>1246</v>
      </c>
      <c r="E32" s="14" t="s">
        <v>1247</v>
      </c>
      <c r="F32" s="14" t="s">
        <v>1248</v>
      </c>
      <c r="G32" s="14" t="s">
        <v>1249</v>
      </c>
      <c r="H32" s="14" t="s">
        <v>1250</v>
      </c>
    </row>
    <row r="33" customFormat="false" ht="15" hidden="false" customHeight="false" outlineLevel="0" collapsed="false">
      <c r="A33" s="2" t="s">
        <v>28</v>
      </c>
      <c r="B33" s="2" t="n">
        <f aca="false">COUNTIF(Tickets!$F$2:$F$1201,$A33)</f>
        <v>170</v>
      </c>
      <c r="C33" s="15" t="n">
        <f aca="false">B33/$B$4</f>
        <v>0.141666666666667</v>
      </c>
      <c r="D33" s="16" t="n">
        <f aca="false">IFERROR(AVERAGEIFS(Tickets!$K$2:$K$1201,Tickets!$F$2:$F$1201,$A33),0)</f>
        <v>30.125628742515</v>
      </c>
      <c r="E33" s="2" t="n">
        <f aca="false">COUNTIFS(Tickets!$F$2:$F$1201,$A33,Tickets!$M$2:$M$1201,"Yes")</f>
        <v>106</v>
      </c>
      <c r="F33" s="2" t="n">
        <f aca="false">COUNTIFS(Tickets!$F$2:$F$1201,$A33,Tickets!$M$2:$M$1201,"No")</f>
        <v>61</v>
      </c>
      <c r="G33" s="15" t="n">
        <f aca="false">IFERROR(E33/(E33+F33),0)</f>
        <v>0.634730538922156</v>
      </c>
      <c r="H33" s="8" t="n">
        <f aca="false">IFERROR(AVERAGEIFS(Tickets!$H$2:$H$1201,Tickets!$F$2:$F$1201,$A33),0)</f>
        <v>3.76646706586826</v>
      </c>
    </row>
    <row r="34" customFormat="false" ht="15" hidden="false" customHeight="false" outlineLevel="0" collapsed="false">
      <c r="A34" s="2" t="s">
        <v>27</v>
      </c>
      <c r="B34" s="2" t="n">
        <f aca="false">COUNTIF(Tickets!$F$2:$F$1201,$A34)</f>
        <v>415</v>
      </c>
      <c r="C34" s="15" t="n">
        <f aca="false">B34/$B$4</f>
        <v>0.345833333333333</v>
      </c>
      <c r="D34" s="16" t="n">
        <f aca="false">IFERROR(AVERAGEIFS(Tickets!$K$2:$K$1201,Tickets!$F$2:$F$1201,$A34),0)</f>
        <v>28.0254074074074</v>
      </c>
      <c r="E34" s="2" t="n">
        <f aca="false">COUNTIFS(Tickets!$F$2:$F$1201,$A34,Tickets!$M$2:$M$1201,"Yes")</f>
        <v>263</v>
      </c>
      <c r="F34" s="2" t="n">
        <f aca="false">COUNTIFS(Tickets!$F$2:$F$1201,$A34,Tickets!$M$2:$M$1201,"No")</f>
        <v>142</v>
      </c>
      <c r="G34" s="15" t="n">
        <f aca="false">IFERROR(E34/(E34+F34),0)</f>
        <v>0.649382716049383</v>
      </c>
      <c r="H34" s="8" t="n">
        <f aca="false">IFERROR(AVERAGEIFS(Tickets!$H$2:$H$1201,Tickets!$F$2:$F$1201,$A34),0)</f>
        <v>3.8962962962963</v>
      </c>
    </row>
    <row r="35" customFormat="false" ht="15" hidden="false" customHeight="false" outlineLevel="0" collapsed="false">
      <c r="A35" s="2" t="s">
        <v>38</v>
      </c>
      <c r="B35" s="2" t="n">
        <f aca="false">COUNTIF(Tickets!$F$2:$F$1201,$A35)</f>
        <v>246</v>
      </c>
      <c r="C35" s="15" t="n">
        <f aca="false">B35/$B$4</f>
        <v>0.205</v>
      </c>
      <c r="D35" s="16" t="n">
        <f aca="false">IFERROR(AVERAGEIFS(Tickets!$K$2:$K$1201,Tickets!$F$2:$F$1201,$A35),0)</f>
        <v>27.8180753138075</v>
      </c>
      <c r="E35" s="2" t="n">
        <f aca="false">COUNTIFS(Tickets!$F$2:$F$1201,$A35,Tickets!$M$2:$M$1201,"Yes")</f>
        <v>150</v>
      </c>
      <c r="F35" s="2" t="n">
        <f aca="false">COUNTIFS(Tickets!$F$2:$F$1201,$A35,Tickets!$M$2:$M$1201,"No")</f>
        <v>89</v>
      </c>
      <c r="G35" s="15" t="n">
        <f aca="false">IFERROR(E35/(E35+F35),0)</f>
        <v>0.627615062761506</v>
      </c>
      <c r="H35" s="8" t="n">
        <f aca="false">IFERROR(AVERAGEIFS(Tickets!$H$2:$H$1201,Tickets!$F$2:$F$1201,$A35),0)</f>
        <v>3.88284518828452</v>
      </c>
    </row>
    <row r="36" customFormat="false" ht="15" hidden="false" customHeight="false" outlineLevel="0" collapsed="false">
      <c r="A36" s="2" t="s">
        <v>24</v>
      </c>
      <c r="B36" s="2" t="n">
        <f aca="false">COUNTIF(Tickets!$F$2:$F$1201,$A36)</f>
        <v>369</v>
      </c>
      <c r="C36" s="15" t="n">
        <f aca="false">B36/$B$4</f>
        <v>0.3075</v>
      </c>
      <c r="D36" s="16" t="n">
        <f aca="false">IFERROR(AVERAGEIFS(Tickets!$K$2:$K$1201,Tickets!$F$2:$F$1201,$A36),0)</f>
        <v>28.9364917127072</v>
      </c>
      <c r="E36" s="2" t="n">
        <f aca="false">COUNTIFS(Tickets!$F$2:$F$1201,$A36,Tickets!$M$2:$M$1201,"Yes")</f>
        <v>237</v>
      </c>
      <c r="F36" s="2" t="n">
        <f aca="false">COUNTIFS(Tickets!$F$2:$F$1201,$A36,Tickets!$M$2:$M$1201,"No")</f>
        <v>125</v>
      </c>
      <c r="G36" s="15" t="n">
        <f aca="false">IFERROR(E36/(E36+F36),0)</f>
        <v>0.654696132596685</v>
      </c>
      <c r="H36" s="8" t="n">
        <f aca="false">IFERROR(AVERAGEIFS(Tickets!$H$2:$H$1201,Tickets!$F$2:$F$1201,$A36),0)</f>
        <v>3.85911602209945</v>
      </c>
    </row>
    <row r="39" customFormat="false" ht="31.5" hidden="false" customHeight="true" outlineLevel="0" collapsed="false">
      <c r="A39" s="14" t="s">
        <v>17</v>
      </c>
      <c r="B39" s="14" t="s">
        <v>1244</v>
      </c>
      <c r="C39" s="14" t="s">
        <v>1245</v>
      </c>
      <c r="D39" s="14" t="s">
        <v>1246</v>
      </c>
      <c r="E39" s="14" t="s">
        <v>1247</v>
      </c>
      <c r="F39" s="14" t="s">
        <v>1248</v>
      </c>
      <c r="G39" s="14" t="s">
        <v>1249</v>
      </c>
      <c r="H39" s="14" t="s">
        <v>1250</v>
      </c>
    </row>
    <row r="40" customFormat="false" ht="15" hidden="false" customHeight="false" outlineLevel="0" collapsed="false">
      <c r="A40" s="2" t="s">
        <v>1252</v>
      </c>
      <c r="B40" s="2" t="n">
        <f aca="false">COUNTIF(Tickets!$J$2:$J$1201,$A40)</f>
        <v>204</v>
      </c>
      <c r="C40" s="15" t="n">
        <f aca="false">B40/$B$4</f>
        <v>0.17</v>
      </c>
      <c r="D40" s="16" t="n">
        <f aca="false">IFERROR(AVERAGEIFS(Tickets!$K$2:$K$1201,Tickets!$J$2:$J$1201,$A40),0)</f>
        <v>32.7319117647059</v>
      </c>
      <c r="E40" s="2" t="n">
        <f aca="false">COUNTIFS(Tickets!$J$2:$J$1201,$A40,Tickets!$M$2:$M$1201,"Yes")</f>
        <v>125</v>
      </c>
      <c r="F40" s="2" t="n">
        <f aca="false">COUNTIFS(Tickets!$J$2:$J$1201,$A40,Tickets!$M$2:$M$1201,"No")</f>
        <v>79</v>
      </c>
      <c r="G40" s="15" t="n">
        <f aca="false">IFERROR(E40/(E40+F40),0)</f>
        <v>0.612745098039216</v>
      </c>
      <c r="H40" s="8" t="n">
        <f aca="false">IFERROR(AVERAGEIFS(Tickets!$H$2:$H$1201,Tickets!$J$2:$J$1201,$A40),0)</f>
        <v>3.80392156862745</v>
      </c>
    </row>
    <row r="41" customFormat="false" ht="15" hidden="false" customHeight="false" outlineLevel="0" collapsed="false">
      <c r="A41" s="2" t="s">
        <v>1253</v>
      </c>
      <c r="B41" s="2" t="n">
        <f aca="false">COUNTIF(Tickets!$J$2:$J$1201,$A41)</f>
        <v>155</v>
      </c>
      <c r="C41" s="15" t="n">
        <f aca="false">B41/$B$4</f>
        <v>0.129166666666667</v>
      </c>
      <c r="D41" s="16" t="n">
        <f aca="false">IFERROR(AVERAGEIFS(Tickets!$K$2:$K$1201,Tickets!$J$2:$J$1201,$A41),0)</f>
        <v>29.6890967741936</v>
      </c>
      <c r="E41" s="2" t="n">
        <f aca="false">COUNTIFS(Tickets!$J$2:$J$1201,$A41,Tickets!$M$2:$M$1201,"Yes")</f>
        <v>92</v>
      </c>
      <c r="F41" s="2" t="n">
        <f aca="false">COUNTIFS(Tickets!$J$2:$J$1201,$A41,Tickets!$M$2:$M$1201,"No")</f>
        <v>63</v>
      </c>
      <c r="G41" s="15" t="n">
        <f aca="false">IFERROR(E41/(E41+F41),0)</f>
        <v>0.593548387096774</v>
      </c>
      <c r="H41" s="8" t="n">
        <f aca="false">IFERROR(AVERAGEIFS(Tickets!$H$2:$H$1201,Tickets!$J$2:$J$1201,$A41),0)</f>
        <v>3.78709677419355</v>
      </c>
    </row>
    <row r="42" customFormat="false" ht="15" hidden="false" customHeight="false" outlineLevel="0" collapsed="false">
      <c r="A42" s="2" t="s">
        <v>1254</v>
      </c>
      <c r="B42" s="2" t="n">
        <f aca="false">COUNTIF(Tickets!$J$2:$J$1201,$A42)</f>
        <v>292</v>
      </c>
      <c r="C42" s="15" t="n">
        <f aca="false">B42/$B$4</f>
        <v>0.243333333333333</v>
      </c>
      <c r="D42" s="16" t="n">
        <f aca="false">IFERROR(AVERAGEIFS(Tickets!$K$2:$K$1201,Tickets!$J$2:$J$1201,$A42),0)</f>
        <v>27.0630821917808</v>
      </c>
      <c r="E42" s="2" t="n">
        <f aca="false">COUNTIFS(Tickets!$J$2:$J$1201,$A42,Tickets!$M$2:$M$1201,"Yes")</f>
        <v>198</v>
      </c>
      <c r="F42" s="2" t="n">
        <f aca="false">COUNTIFS(Tickets!$J$2:$J$1201,$A42,Tickets!$M$2:$M$1201,"No")</f>
        <v>94</v>
      </c>
      <c r="G42" s="15" t="n">
        <f aca="false">IFERROR(E42/(E42+F42),0)</f>
        <v>0.678082191780822</v>
      </c>
      <c r="H42" s="8" t="n">
        <f aca="false">IFERROR(AVERAGEIFS(Tickets!$H$2:$H$1201,Tickets!$J$2:$J$1201,$A42),0)</f>
        <v>3.90753424657534</v>
      </c>
    </row>
    <row r="43" customFormat="false" ht="15" hidden="false" customHeight="false" outlineLevel="0" collapsed="false">
      <c r="A43" s="2" t="s">
        <v>1255</v>
      </c>
      <c r="B43" s="2" t="n">
        <f aca="false">COUNTIF(Tickets!$J$2:$J$1201,$A43)</f>
        <v>176</v>
      </c>
      <c r="C43" s="15" t="n">
        <f aca="false">B43/$B$4</f>
        <v>0.146666666666667</v>
      </c>
      <c r="D43" s="16" t="n">
        <f aca="false">IFERROR(AVERAGEIFS(Tickets!$K$2:$K$1201,Tickets!$J$2:$J$1201,$A43),0)</f>
        <v>26.5552272727273</v>
      </c>
      <c r="E43" s="2" t="n">
        <f aca="false">COUNTIFS(Tickets!$J$2:$J$1201,$A43,Tickets!$M$2:$M$1201,"Yes")</f>
        <v>114</v>
      </c>
      <c r="F43" s="2" t="n">
        <f aca="false">COUNTIFS(Tickets!$J$2:$J$1201,$A43,Tickets!$M$2:$M$1201,"No")</f>
        <v>62</v>
      </c>
      <c r="G43" s="15" t="n">
        <f aca="false">IFERROR(E43/(E43+F43),0)</f>
        <v>0.647727272727273</v>
      </c>
      <c r="H43" s="8" t="n">
        <f aca="false">IFERROR(AVERAGEIFS(Tickets!$H$2:$H$1201,Tickets!$J$2:$J$1201,$A43),0)</f>
        <v>4</v>
      </c>
    </row>
    <row r="44" customFormat="false" ht="15" hidden="false" customHeight="false" outlineLevel="0" collapsed="false">
      <c r="A44" s="2" t="s">
        <v>1256</v>
      </c>
      <c r="B44" s="2" t="n">
        <f aca="false">COUNTIF(Tickets!$J$2:$J$1201,$A44)</f>
        <v>188</v>
      </c>
      <c r="C44" s="15" t="n">
        <f aca="false">B44/$B$4</f>
        <v>0.156666666666667</v>
      </c>
      <c r="D44" s="16" t="n">
        <f aca="false">IFERROR(AVERAGEIFS(Tickets!$K$2:$K$1201,Tickets!$J$2:$J$1201,$A44),0)</f>
        <v>27.0123936170213</v>
      </c>
      <c r="E44" s="2" t="n">
        <f aca="false">COUNTIFS(Tickets!$J$2:$J$1201,$A44,Tickets!$M$2:$M$1201,"Yes")</f>
        <v>125</v>
      </c>
      <c r="F44" s="2" t="n">
        <f aca="false">COUNTIFS(Tickets!$J$2:$J$1201,$A44,Tickets!$M$2:$M$1201,"No")</f>
        <v>63</v>
      </c>
      <c r="G44" s="15" t="n">
        <f aca="false">IFERROR(E44/(E44+F44),0)</f>
        <v>0.664893617021277</v>
      </c>
      <c r="H44" s="8" t="n">
        <f aca="false">IFERROR(AVERAGEIFS(Tickets!$H$2:$H$1201,Tickets!$J$2:$J$1201,$A44),0)</f>
        <v>3.85106382978723</v>
      </c>
    </row>
    <row r="45" customFormat="false" ht="15" hidden="false" customHeight="false" outlineLevel="0" collapsed="false">
      <c r="A45" s="2" t="s">
        <v>1257</v>
      </c>
      <c r="B45" s="2" t="n">
        <f aca="false">COUNTIF(Tickets!$J$2:$J$1201,$A45)</f>
        <v>185</v>
      </c>
      <c r="C45" s="15" t="n">
        <f aca="false">B45/$B$4</f>
        <v>0.154166666666667</v>
      </c>
      <c r="D45" s="16" t="n">
        <f aca="false">IFERROR(AVERAGEIFS(Tickets!$K$2:$K$1201,Tickets!$J$2:$J$1201,$A45),0)</f>
        <v>28.9317088607595</v>
      </c>
      <c r="E45" s="2" t="n">
        <f aca="false">COUNTIFS(Tickets!$J$2:$J$1201,$A45,Tickets!$M$2:$M$1201,"Yes")</f>
        <v>102</v>
      </c>
      <c r="F45" s="2" t="n">
        <f aca="false">COUNTIFS(Tickets!$J$2:$J$1201,$A45,Tickets!$M$2:$M$1201,"No")</f>
        <v>56</v>
      </c>
      <c r="G45" s="15" t="n">
        <f aca="false">IFERROR(E45/(E45+F45),0)</f>
        <v>0.645569620253165</v>
      </c>
      <c r="H45" s="8" t="n">
        <f aca="false">IFERROR(AVERAGEIFS(Tickets!$H$2:$H$1201,Tickets!$J$2:$J$1201,$A45),0)</f>
        <v>3.79746835443038</v>
      </c>
    </row>
  </sheetData>
  <conditionalFormatting sqref="G12:G1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0:G2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7:G29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33:G36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40:G45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5" t="s">
        <v>12</v>
      </c>
      <c r="B1" s="5" t="s">
        <v>1258</v>
      </c>
    </row>
    <row r="2" customFormat="false" ht="15" hidden="false" customHeight="false" outlineLevel="0" collapsed="false">
      <c r="A2" s="2" t="s">
        <v>40</v>
      </c>
      <c r="B2" s="17" t="n">
        <v>4</v>
      </c>
      <c r="D2" s="18" t="s">
        <v>1259</v>
      </c>
    </row>
    <row r="3" customFormat="false" ht="15" hidden="false" customHeight="false" outlineLevel="0" collapsed="false">
      <c r="A3" s="2" t="s">
        <v>23</v>
      </c>
      <c r="B3" s="17" t="n">
        <v>8</v>
      </c>
      <c r="D3" s="18" t="s">
        <v>1260</v>
      </c>
    </row>
    <row r="4" customFormat="false" ht="15" hidden="false" customHeight="false" outlineLevel="0" collapsed="false">
      <c r="A4" s="2" t="s">
        <v>35</v>
      </c>
      <c r="B4" s="17" t="n">
        <v>24</v>
      </c>
    </row>
    <row r="5" customFormat="false" ht="15" hidden="false" customHeight="false" outlineLevel="0" collapsed="false">
      <c r="A5" s="2" t="s">
        <v>32</v>
      </c>
      <c r="B5" s="17" t="n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2026-09-28T19:45:18Z</dcterms:created>
  <dc:creator>openpyxl</dc:creator>
  <dc:description/>
  <dc:language>en-US</dc:language>
  <cp:lastModifiedBy/>
  <dcterms:modified xsi:type="dcterms:W3CDTF">2026-09-28T15:45:23Z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